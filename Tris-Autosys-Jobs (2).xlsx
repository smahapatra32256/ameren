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ameren.sharepoint.com/sites/TimetoPay-TRISReplacement-GROUP/Shared Documents/Application/TRIS ! Mainframe/"/>
    </mc:Choice>
  </mc:AlternateContent>
  <xr:revisionPtr revIDLastSave="0" documentId="8_{1C884EF8-D61B-41FC-A16E-5B0F142FC0CC}" xr6:coauthVersionLast="47" xr6:coauthVersionMax="47" xr10:uidLastSave="{00000000-0000-0000-0000-000000000000}"/>
  <bookViews>
    <workbookView xWindow="-120" yWindow="-120" windowWidth="29040" windowHeight="15720" firstSheet="13" activeTab="5" xr2:uid="{00000000-000D-0000-FFFF-FFFF00000000}"/>
  </bookViews>
  <sheets>
    <sheet name="Job Summary" sheetId="15" r:id="rId1"/>
    <sheet name="Job Details" sheetId="3" r:id="rId2"/>
    <sheet name="Job Schedule" sheetId="16" r:id="rId3"/>
    <sheet name="Job to Program Mapping " sheetId="7" r:id="rId4"/>
    <sheet name="Program Mapping" sheetId="10" r:id="rId5"/>
    <sheet name="TRIS Autosys Jobs" sheetId="2" r:id="rId6"/>
    <sheet name="Master List Programs" sheetId="5" r:id="rId7"/>
    <sheet name="Master List Jobs" sheetId="6" r:id="rId8"/>
    <sheet name="Other Autosys Jobs" sheetId="4" r:id="rId9"/>
    <sheet name="Job Sequence Info" sheetId="8" r:id="rId10"/>
    <sheet name="Report Jobs" sheetId="9" r:id="rId11"/>
    <sheet name="TI Programs Hierarchy" sheetId="11" r:id="rId12"/>
    <sheet name="TR Programs Hierarchy" sheetId="12" r:id="rId13"/>
    <sheet name="Reports" sheetId="13" r:id="rId14"/>
    <sheet name="Testing" sheetId="14" r:id="rId15"/>
  </sheets>
  <definedNames>
    <definedName name="_xlnm._FilterDatabase" localSheetId="1" hidden="1">'Job Details'!$A$2:$E$12</definedName>
    <definedName name="_xlnm._FilterDatabase" localSheetId="5" hidden="1">'TRIS Autosys Jobs'!$A$2:$AM$144</definedName>
    <definedName name="Autosys_output_commas" localSheetId="5">'TRIS Autosys Jobs'!$A$3:$AM$145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5" l="1"/>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2" i="15"/>
  <c r="B2" i="15"/>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A77" i="13"/>
  <c r="A78" i="13" s="1"/>
  <c r="A79" i="13" s="1"/>
  <c r="A80" i="13" s="1"/>
  <c r="A81" i="13" s="1"/>
  <c r="A82" i="13" s="1"/>
  <c r="A83" i="13" s="1"/>
  <c r="A84" i="13" s="1"/>
  <c r="A85" i="13" s="1"/>
  <c r="A86" i="13" s="1"/>
  <c r="A3" i="6"/>
  <c r="A4" i="6" s="1"/>
  <c r="A5" i="6" s="1"/>
  <c r="A6" i="6" s="1"/>
  <c r="A7" i="6" s="1"/>
  <c r="A8" i="6" s="1"/>
  <c r="A9" i="6" s="1"/>
  <c r="A10"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utosys-output-commas" type="6" refreshedVersion="6" background="1" saveData="1">
    <textPr codePage="437" sourceFile="C:\Users\E33724\Desktop\TRIS\2021 Issues\TWS\Autosys-output-commas.txt">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<sst xmlns="http://schemas.openxmlformats.org/spreadsheetml/2006/main" count="12045" uniqueCount="2020">
  <si>
    <t>Legacy Job Name</t>
  </si>
  <si>
    <t>New TRIS JOB</t>
  </si>
  <si>
    <t>Tested</t>
  </si>
  <si>
    <t xml:space="preserve">TRIS_RH_ARCOS_Daily_Box     </t>
  </si>
  <si>
    <t xml:space="preserve">TRIS_RH_ARCOS_Overtime_Daily     </t>
  </si>
  <si>
    <t xml:space="preserve">TRIS_RH_ARCOS_HR_Daily     </t>
  </si>
  <si>
    <t xml:space="preserve">TRIS_RH_ARCOS_Sched_Daily     </t>
  </si>
  <si>
    <t>TRIS_RH_ARCOS_SFTP_Daily</t>
  </si>
  <si>
    <t>TRIS_RH_ARCOS_Delete_files</t>
  </si>
  <si>
    <t xml:space="preserve">TRIS_RH_ARCOS_Weekly_Box     </t>
  </si>
  <si>
    <t xml:space="preserve">TRIS_RH_ARCOS_Overtime_Weekly     </t>
  </si>
  <si>
    <t xml:space="preserve">TRIS_RH_ARCOS_Yearly_Box     </t>
  </si>
  <si>
    <t xml:space="preserve">TRIS_RH_ARCOS_Overtime_Yearly     </t>
  </si>
  <si>
    <t xml:space="preserve">TRIS_RH_Contract_Final     </t>
  </si>
  <si>
    <t xml:space="preserve">TRIS_RH_Contract_Final_010_BuildPayrollFiles_vJOB_TR     </t>
  </si>
  <si>
    <t xml:space="preserve">TRIS_RH_Contract_Final_020_BuildPayrollFiles_vDEPT_TBL_TR     </t>
  </si>
  <si>
    <t xml:space="preserve">TRIS_RH_Contract_Final_030_BuildPayrollFiles_vJOBCODE_TR     </t>
  </si>
  <si>
    <t xml:space="preserve">TRIS_RH_Contract_Final_040_BuildPayrollFiles_vSAL_STEP_TR     </t>
  </si>
  <si>
    <t xml:space="preserve">TRIS_RH_Contract_Final_050_BuildPayrollFiles_FTP_vJOB_TR     </t>
  </si>
  <si>
    <t xml:space="preserve">TRIS_RH_Contract_Final_060_BuildPayrollFiles_FTP_vDEPT_TR     </t>
  </si>
  <si>
    <t xml:space="preserve">TRIS_RH_Contract_Final_070_BuildPayrollFiles_FTP_vJOBCODE     </t>
  </si>
  <si>
    <t xml:space="preserve">TRIS_RH_Contract_Final_080_BuildPayrollFiles_FTP_vSAL     </t>
  </si>
  <si>
    <t xml:space="preserve">TRIS_RH_Contract_Final_200_MF_AR13895     </t>
  </si>
  <si>
    <t xml:space="preserve">TRIS_RH_Contract_Final_300_Build_HR_History_View     </t>
  </si>
  <si>
    <t xml:space="preserve">TRIS_RH_Contract_Final_410_MF_TR33200     </t>
  </si>
  <si>
    <t xml:space="preserve">TRIS_RH_Contract_Final_420_MF_AR13687     </t>
  </si>
  <si>
    <t xml:space="preserve">TRIS_RH_Contract_Final_530_Send_Copy_PayrollFile     </t>
  </si>
  <si>
    <t xml:space="preserve">TRIS_RH_Contract_Final_540_Send_Move_PayrollFile     </t>
  </si>
  <si>
    <t xml:space="preserve">TRIS_RH_Contract_Final_550_Send_ToPayroll     </t>
  </si>
  <si>
    <t xml:space="preserve">TRIS_RH_Contract_Final_600_MF_TR33206     </t>
  </si>
  <si>
    <t xml:space="preserve">TRIS_RH_Contract_Preliminary_OnRequest_MF_TR33103N     </t>
  </si>
  <si>
    <t xml:space="preserve">TRIS_RH_dailyBox     </t>
  </si>
  <si>
    <t xml:space="preserve">TRIS_RH_daily_010_BuildCommon_Department     </t>
  </si>
  <si>
    <t xml:space="preserve">TRIS_RH_daily_020_BuildCommon_Employee     </t>
  </si>
  <si>
    <t xml:space="preserve">TRIS_RH_daily_030_BuildCommon_FTP_Department     </t>
  </si>
  <si>
    <t xml:space="preserve">TRIS_RH_daily_040_BuildCommon_FTP_Employee     </t>
  </si>
  <si>
    <t xml:space="preserve">TRIS_RH_daily_050_BuildCommon_FTP_THRDBEmployee     </t>
  </si>
  <si>
    <t xml:space="preserve">TRIS_RH_daily_070_BuildCommon_Associations     </t>
  </si>
  <si>
    <t xml:space="preserve">TRIS_RH_daily_080_BuildCommon_FTP_Associations     </t>
  </si>
  <si>
    <t xml:space="preserve">TRIS_RH_daily_100_BuildPayrollFiles_vJOB_TR     </t>
  </si>
  <si>
    <t xml:space="preserve">TRIS_RH_daily_110_BuildPayrollFiles_vDEPT_TBL_TR     </t>
  </si>
  <si>
    <t xml:space="preserve">TRIS_RH_daily_120_BuildPayrollFiles_vJOBCODE_TBL_TR     </t>
  </si>
  <si>
    <t xml:space="preserve">TRIS_RH_daily_130_BuildPayrollFiles_vSAL_STEP_TBL_TR     </t>
  </si>
  <si>
    <t xml:space="preserve">TRIS_RH_daily_140_BuildPayrollFiles_FTP_vJOB_TR     </t>
  </si>
  <si>
    <t xml:space="preserve">TRIS_RH_daily_150_BuildPayrollFiles_FTP_vDEPT_TBL_TR     </t>
  </si>
  <si>
    <t xml:space="preserve">TRIS_RH_daily_160_BuildPayrollFiles_FTP_vJOBCODE_TBL_TR     </t>
  </si>
  <si>
    <t xml:space="preserve">TRIS_RH_daily_170_BuildPayrollFiles_FTP_vSAL_STEP_TBL_TR     </t>
  </si>
  <si>
    <t xml:space="preserve">TRIS_RH_daily_300_MF_AR13872     </t>
  </si>
  <si>
    <t xml:space="preserve">TRIS_RH_daily_310_MF_AR13999     </t>
  </si>
  <si>
    <t xml:space="preserve">TRIS_RH_daily_320_MF_AR13895     </t>
  </si>
  <si>
    <t xml:space="preserve">TRIS_RH_daily_330_MF_DB12287N     </t>
  </si>
  <si>
    <t xml:space="preserve">TRIS_RH_daily_340_MF_DB12005N     </t>
  </si>
  <si>
    <t xml:space="preserve">TRIS_RH_daily_380_Build_HR_History_View     </t>
  </si>
  <si>
    <t xml:space="preserve">TRIS_RH_daily_410_MF_TR33106     </t>
  </si>
  <si>
    <t xml:space="preserve">TRIS_RH_daily_420_MF_TR33107     </t>
  </si>
  <si>
    <t xml:space="preserve">TRIS_RH_daily_430_MF_TR33102     </t>
  </si>
  <si>
    <t>TRIS_RH_daily_435_Vacation_Allotment</t>
  </si>
  <si>
    <t>TRIS_RH_daily_437_Maintain_Holidays</t>
  </si>
  <si>
    <t xml:space="preserve">TRIS_RH_daily_440_MF_TR33136     </t>
  </si>
  <si>
    <t xml:space="preserve">TRIS_RH_daily_445_workday_Seniority_Interface     </t>
  </si>
  <si>
    <t xml:space="preserve">TRIS_RH_daily_450_MF_TR33115     </t>
  </si>
  <si>
    <t xml:space="preserve">TRIS_RH_daily_700_MF_TR33101N     </t>
  </si>
  <si>
    <t xml:space="preserve">TRIS_RH_daily_600_MF_TR33103N     </t>
  </si>
  <si>
    <t xml:space="preserve">TRIS_RH_daily_800_TRISBIExtract     </t>
  </si>
  <si>
    <t xml:space="preserve">TRIS_RH_daily_810_IMREmail     </t>
  </si>
  <si>
    <t xml:space="preserve">TRIS_RH_Daily_everyday_0005_DelayedOTBanks_MF_TR33108     </t>
  </si>
  <si>
    <t>TRIS_RH_Daily_everyday_1900_DepartmentMaintenance</t>
  </si>
  <si>
    <t xml:space="preserve">TRIS_RH_Daily_everyday_1900_workday_FMLA_Interface     </t>
  </si>
  <si>
    <t>TRIS_RH_Contract_Preliminary_OnRequest_MF_TR33103N</t>
  </si>
  <si>
    <t xml:space="preserve">TRIS_RH_Executive_Final     </t>
  </si>
  <si>
    <t xml:space="preserve">TRIS_RH_Executive_Final_010_BuildPayrollFiles_vJOB_TR     </t>
  </si>
  <si>
    <t xml:space="preserve">TRIS_RH_Executive_Final_020_BuildPayrollFiles_vDEPT_TBL_TR     </t>
  </si>
  <si>
    <t xml:space="preserve">TRIS_RH_Executive_Final_030_BuildPayrollFiles_vJOBCODE_TR     </t>
  </si>
  <si>
    <t xml:space="preserve">TRIS_RH_Executive_Final_040_BuildPayrollFiles_vSAL_STEP_TR     </t>
  </si>
  <si>
    <t xml:space="preserve">TRIS_RH_Executive_Final_050_BuildPayrollFiles_FTP_vJOB_TR     </t>
  </si>
  <si>
    <t xml:space="preserve">TRIS_RH_Executive_Final_060_BuildPayrollFiles_FTP_vDEPT_TR     </t>
  </si>
  <si>
    <t xml:space="preserve">TRIS_RH_Executive_Final_070_BuildPayrollFiles_FTP_vJOBCODE     </t>
  </si>
  <si>
    <t xml:space="preserve">TRIS_RH_Executive_Final_080_BuildPayrollFiles_FTP_vSAL     </t>
  </si>
  <si>
    <t xml:space="preserve">TRIS_RH_Executive_Final_200_MF_AR13895     </t>
  </si>
  <si>
    <t xml:space="preserve">TRIS_RH_Executive_Final_300_Build_HR_History_View     </t>
  </si>
  <si>
    <t xml:space="preserve">TRIS_RH_Executive_Final_310_COPtoUOP     </t>
  </si>
  <si>
    <t xml:space="preserve">TRIS_RH_Executive_Final_410_MF_TR33201     </t>
  </si>
  <si>
    <t xml:space="preserve">TRIS_RH_Executive_Final_420_MF_AR13587     </t>
  </si>
  <si>
    <t xml:space="preserve">TRIS_RH_Executive_Final_530_Send_Copy_PayrollFile     </t>
  </si>
  <si>
    <t xml:space="preserve">TRIS_RH_Executive_Final_540_Send_Move_PayrollFile     </t>
  </si>
  <si>
    <t xml:space="preserve">TRIS_RH_Executive_Final_550_Send_ToPayroll     </t>
  </si>
  <si>
    <t xml:space="preserve">TRIS_RH_Executive_Preliminary_OnRequest_MF_TR33112     </t>
  </si>
  <si>
    <t>TRIS_RH_OnRequest_HRinterface_MF_TR33102</t>
  </si>
  <si>
    <t xml:space="preserve">TRIS_RH_monthly_000_PDCLOSEBox     </t>
  </si>
  <si>
    <t>TRIS_RH_monthly_010_FixedAccountingAllocationsInterface</t>
  </si>
  <si>
    <t>TRIS_RH_monthly_020_PayrollAccruals</t>
  </si>
  <si>
    <t>TRIS_RH_monthly_030_PayrollDistributionInterface</t>
  </si>
  <si>
    <t xml:space="preserve">TRIS_RH_monthly_150_LaborHours_Interface     </t>
  </si>
  <si>
    <t>TRIS_RH_monthly_100_MaximoAccountingInterface</t>
  </si>
  <si>
    <t>TRIS_RH_sundayBox</t>
  </si>
  <si>
    <t xml:space="preserve">TRIS_RH_sunday_010_BuildCommon_Department     </t>
  </si>
  <si>
    <t xml:space="preserve">TRIS_RH_sunday_020_BuildCommon_Employee     </t>
  </si>
  <si>
    <t xml:space="preserve">TRIS_RH_sunday_030_BuildCommon_FTP_Department     </t>
  </si>
  <si>
    <t xml:space="preserve">TRIS_RH_sunday_040_BuildCommon_FTP_Employee     </t>
  </si>
  <si>
    <t xml:space="preserve">TRIS_RH_sunday_050_BuildCommon_FTP_THRDBEmployee     </t>
  </si>
  <si>
    <t xml:space="preserve">TRIS_RH_sunday_070_BuildCommon_Associations     </t>
  </si>
  <si>
    <t xml:space="preserve">TRIS_RH_sunday_080_BuildCommon_FTP_Associations     </t>
  </si>
  <si>
    <t xml:space="preserve">TRIS_RH_sunday_100_BuildPayrollFiles_vJOB_TR     </t>
  </si>
  <si>
    <t xml:space="preserve">TRIS_RH_sunday_110_BuildPayrollFiles_vDEPT_TBL_TR     </t>
  </si>
  <si>
    <t xml:space="preserve">TRIS_RH_sunday_120_BuildPayrollFiles_vJOBCODE_TBL_TR     </t>
  </si>
  <si>
    <t xml:space="preserve">TRIS_RH_sunday_130_BuildPayrollFiles_vSAL_STEP_TBL_TR     </t>
  </si>
  <si>
    <t xml:space="preserve">TRIS_RH_sunday_140_BuildPayrollFiles_FTP_vJOB_TR     </t>
  </si>
  <si>
    <t xml:space="preserve">TRIS_RH_sunday_150_BuildPayrollFiles_FTP_vDEPT_TBL_TR     </t>
  </si>
  <si>
    <t xml:space="preserve">TRIS_RH_sunday_160_BuildPayrollFiles_FTP_vJOBCODE_TBL_TR     </t>
  </si>
  <si>
    <t xml:space="preserve">TRIS_RH_sunday_170_BuildPayrollFiles_FTP_vSAL_STEP_TBL_TR     </t>
  </si>
  <si>
    <t xml:space="preserve">TRIS_RH_sunday_300_MF_AR13872     </t>
  </si>
  <si>
    <t xml:space="preserve">TRIS_RH_sunday_310_MF_AR13999     </t>
  </si>
  <si>
    <t xml:space="preserve">TRIS_RH_sunday_320_MF_AR13895     </t>
  </si>
  <si>
    <t xml:space="preserve">TRIS_RH_sunday_330_MF_DB12287N     </t>
  </si>
  <si>
    <t xml:space="preserve">TRIS_RH_sunday_340_MF_DB12005N     </t>
  </si>
  <si>
    <t xml:space="preserve">TRIS_RH_sunday_380_Build_HR_History_View     </t>
  </si>
  <si>
    <t xml:space="preserve">TRIS_RH_sunday_410_MF_TR33106     </t>
  </si>
  <si>
    <t xml:space="preserve">TRIS_RH_sunday_420_MF_TR33107     </t>
  </si>
  <si>
    <t xml:space="preserve">TRIS_RH_sunday_430_MF_TR33102     </t>
  </si>
  <si>
    <t>TRIS_RH_sunday_435_Vacation_Allotment</t>
  </si>
  <si>
    <t>TRIS_RH_sunday_437_Maintain_Holidays</t>
  </si>
  <si>
    <t xml:space="preserve">TRIS_RH_sunday_440_MF_TR33136     </t>
  </si>
  <si>
    <t xml:space="preserve">TRIS_RH_sunday_450_MF_TR33115     </t>
  </si>
  <si>
    <t xml:space="preserve">TRIS_RH_yearly_Jan20_1730_MF_TR33445     </t>
  </si>
  <si>
    <t xml:space="preserve">TRIS_RH_yearly_Jan20_1800_MF_TR33446     </t>
  </si>
  <si>
    <t xml:space="preserve">TRIS_RH_yearly_Jan20_1830_VacationAccrualReport    </t>
  </si>
  <si>
    <t xml:space="preserve">TRIS_RH_yearly_Jan20_2000_MF_TR33406     </t>
  </si>
  <si>
    <t xml:space="preserve">TRIS_RN_BatchVerifyEnvVars     </t>
  </si>
  <si>
    <t xml:space="preserve">TRIS_RN_FTPVerifyEnvVars     </t>
  </si>
  <si>
    <t>TRIS_RN_Contract_Final_080_BuildPayrollFiles_FTP_vSAL</t>
  </si>
  <si>
    <t>TRIS_RN_Contract_final_200_MF_AR13895</t>
  </si>
  <si>
    <t xml:space="preserve">TRIS_RN_monthly_day_01_MF_TR33311     </t>
  </si>
  <si>
    <t xml:space="preserve">TRIS_RN_monthly_day_02_MF_TR33312     </t>
  </si>
  <si>
    <t xml:space="preserve">TRIS_RN_monthly_day_02_MF_TR33402     </t>
  </si>
  <si>
    <t xml:space="preserve">TRIS_RN_monthly_day_20_MF_TR33137     </t>
  </si>
  <si>
    <t xml:space="preserve">TRIS_RN_monthly_day_20_MF_TR33306     </t>
  </si>
  <si>
    <t xml:space="preserve">TRIS_RN_MTC_AUTO_IMPORT     </t>
  </si>
  <si>
    <t xml:space="preserve">TRIS_RN_MTC_AUTO_IMPORT_EARLY_AM     </t>
  </si>
  <si>
    <t xml:space="preserve">TRIS_RN_MTC_AUTO_IMPORT_SAT_SUN     </t>
  </si>
  <si>
    <t xml:space="preserve">TRIS_RN_PURGE_NRCFM     </t>
  </si>
  <si>
    <t>TRIS_RN_ReportJobsDaily</t>
  </si>
  <si>
    <t>TRIS_RN_ReportJobsDailyFileDated</t>
  </si>
  <si>
    <t>TRIS_RN_ReportJobsDailySFTP</t>
  </si>
  <si>
    <t>TRIS_RN_Sick_Leave_Recalculate_Bank_Blanaces_MF_TR33000</t>
  </si>
  <si>
    <t xml:space="preserve">TRIS_RN_TRISPDReconcile     </t>
  </si>
  <si>
    <t xml:space="preserve">TRIS_RN_TRISPurge_ATAudit     </t>
  </si>
  <si>
    <t xml:space="preserve">TRIS_RN_tuesday_100_MF_TR33211     </t>
  </si>
  <si>
    <t>TRIS_RN_contract_payroll_reports_MF_TR33906</t>
  </si>
  <si>
    <t>TRIS_RN_contract_payroll_reports_MF_TR33906V</t>
  </si>
  <si>
    <t xml:space="preserve">TRIS_RN_yearly_OnRequest_MF_TR33440     </t>
  </si>
  <si>
    <t xml:space="preserve">TRIS_RN_yearly_OnRequest_MF_TR33442     </t>
  </si>
  <si>
    <t xml:space="preserve">TRIS_RN_yearly_OnRequest_MF_TR33451     </t>
  </si>
  <si>
    <t xml:space="preserve">TRIS_RN_yearly_QuarterlyRpts_MF_TR33400     </t>
  </si>
  <si>
    <t xml:space="preserve">TRIS_RN_yearly_QuarterlyRpts_MF_TR33401     </t>
  </si>
  <si>
    <t xml:space="preserve">TRIS_RN_yearly_QuarterlyRpts_MF_TR33407     </t>
  </si>
  <si>
    <t xml:space="preserve">TRIS_RN_yearly_QuarterlyRpts_MF_TR33408     </t>
  </si>
  <si>
    <t>TRIS_RN_monthly_day_01_MF_TR33311</t>
  </si>
  <si>
    <t>TRIS_RN_monthly_day_02_MF_TR33312</t>
  </si>
  <si>
    <t>TRIS_RN_monthly_day_02_MF_TR33402</t>
  </si>
  <si>
    <t>TRIS_RN_monthly_day_20_MF_TR33137</t>
  </si>
  <si>
    <t>TRIS_RN_monthly_day_20_MF_TR33306</t>
  </si>
  <si>
    <t>TRIS_RN_monthly_single_050_MF_TR33318</t>
  </si>
  <si>
    <t xml:space="preserve">Please see the bottom Notes for more info on highlighted jobs. </t>
  </si>
  <si>
    <t> </t>
  </si>
  <si>
    <t>Job Name</t>
  </si>
  <si>
    <t>Box</t>
  </si>
  <si>
    <t xml:space="preserve">Step </t>
  </si>
  <si>
    <t>Days</t>
  </si>
  <si>
    <t>Time</t>
  </si>
  <si>
    <t>Old process/Command</t>
  </si>
  <si>
    <t>Gateway URL</t>
  </si>
  <si>
    <t>Status</t>
  </si>
  <si>
    <t>New autosys</t>
  </si>
  <si>
    <t>Description of Job</t>
  </si>
  <si>
    <t>Wipro Contact</t>
  </si>
  <si>
    <t>New TRIS Csharp Jobs</t>
  </si>
  <si>
    <t>Description</t>
  </si>
  <si>
    <t>Job Type</t>
  </si>
  <si>
    <t>Box Name</t>
  </si>
  <si>
    <t>Owner</t>
  </si>
  <si>
    <t>Machine</t>
  </si>
  <si>
    <t>Command</t>
  </si>
  <si>
    <t>Permissions</t>
  </si>
  <si>
    <t>JCL
library</t>
  </si>
  <si>
    <t>JCL
member</t>
  </si>
  <si>
    <t>Has
Date
Condition</t>
  </si>
  <si>
    <t>Start Time</t>
  </si>
  <si>
    <t>Run Calendar</t>
  </si>
  <si>
    <t>Exclude Calendar</t>
  </si>
  <si>
    <t>Alarm</t>
  </si>
  <si>
    <t>Profile</t>
  </si>
  <si>
    <t>Send
Notification</t>
  </si>
  <si>
    <t>Schedule
Priority</t>
  </si>
  <si>
    <t>Email Notified</t>
  </si>
  <si>
    <t>Email Message</t>
  </si>
  <si>
    <t>Mainframe Condtion Code</t>
  </si>
  <si>
    <t>Start Mins</t>
  </si>
  <si>
    <t xml:space="preserve"> std out file</t>
  </si>
  <si>
    <t>std err file</t>
  </si>
  <si>
    <t>FTP
transfer
type</t>
  </si>
  <si>
    <t>FTP
transfer
direction</t>
  </si>
  <si>
    <t>FTP local name</t>
  </si>
  <si>
    <t>FTP
remote
name</t>
  </si>
  <si>
    <t>FTP
server
name</t>
  </si>
  <si>
    <t>FTP
use
ssl</t>
  </si>
  <si>
    <t>FTP
local
user</t>
  </si>
  <si>
    <t>FTP
user
type</t>
  </si>
  <si>
    <t>max
run
alarm</t>
  </si>
  <si>
    <t>box
terminator</t>
  </si>
  <si>
    <t>term
run
time</t>
  </si>
  <si>
    <t>Test Status</t>
  </si>
  <si>
    <t>su,mo,tu,we,th,fr,sa</t>
  </si>
  <si>
    <t>TRIS ARCOS Daily Interface Files CHG0000000xxxxx</t>
  </si>
  <si>
    <t xml:space="preserve">BOX  </t>
  </si>
  <si>
    <t xml:space="preserve">TRISBATCH@ameren </t>
  </si>
  <si>
    <t xml:space="preserve">gx,mx </t>
  </si>
  <si>
    <t>C:\TRISBatch\ARCOSOvertimeInterface\ARCOSOvertimeInterface.exe</t>
  </si>
  <si>
    <t>/api/core/payroll/v1/ARCOSHRInterface/strike/process</t>
  </si>
  <si>
    <t xml:space="preserve"> TRIS daily ARCOS HR interface #RH#DV-HR-TR# CHG CHG0000000xxxxx </t>
  </si>
  <si>
    <t xml:space="preserve">CMD  </t>
  </si>
  <si>
    <t xml:space="preserve">TRIS_RH_ARCOS_Daily_Box </t>
  </si>
  <si>
    <t xml:space="preserve">V_TRIS_BATCH </t>
  </si>
  <si>
    <t xml:space="preserve">$$TRIS_BATCHDIR\ARCOSHRInterface\ARCOSHRInterface.exe </t>
  </si>
  <si>
    <t>TRIS</t>
  </si>
  <si>
    <t xml:space="preserve">F </t>
  </si>
  <si>
    <t>DLTRISTeam@ameren.com</t>
  </si>
  <si>
    <t xml:space="preserve">TRIS_RH_ARCOS_HR_Daily FAILED. </t>
  </si>
  <si>
    <t xml:space="preserve">&gt;&gt;$$TRIS_BATCHDIR\Logs\%AUTO_JOB_NAME%_stdout.txt </t>
  </si>
  <si>
    <t xml:space="preserve"> &gt;&gt;$$TRIS_BATCHDIR\Logs\%AUTO_JOB_NAME%_stderr.txt </t>
  </si>
  <si>
    <t>s(TRIS_RH_ARCOS_Overtime_Daily)</t>
  </si>
  <si>
    <t xml:space="preserve">	C:\TRISBatch\ARCOSHRInterface\ARCOSHRInterface.exe</t>
  </si>
  <si>
    <t>/api/core/payroll/v1/ArcosOvertimeInterface/interface</t>
  </si>
  <si>
    <t xml:space="preserve"> TRIS daily ARCOS Overtime interface #RH#DV-HR-TR# CHG0000000xxxxx </t>
  </si>
  <si>
    <t xml:space="preserve">$$TRIS_BATCHDIR\ARCOSOvertimeInterface\ARCOSOvertimeInterface.exe </t>
  </si>
  <si>
    <t xml:space="preserve">TRIS_RH_ARCOS_Overtime_Daily FAILED. </t>
  </si>
  <si>
    <t xml:space="preserve">	s(TRIS_RH_ARCOS_HR_Daily)</t>
  </si>
  <si>
    <t xml:space="preserve">	C:\TRISBatch\ARCOSScheduleInterface\ARCOSSchedulingInterface.exe</t>
  </si>
  <si>
    <t>/api/core/payroll/v1/ARCOSOvertimeWeekly/build-all-standings</t>
  </si>
  <si>
    <t xml:space="preserve"> TRIS weekly ARCOS Build Next Standing #RN#DV-HR-TR# CHG0000000xxxxx </t>
  </si>
  <si>
    <t xml:space="preserve">TRIS_RH_ARCOS_Weekly_Box </t>
  </si>
  <si>
    <t xml:space="preserve">$$TRIS_BATCHDIR\ARCOSOvertimeWeeklyProcess\ARCOSOvertimeWeeklyProcess.exe </t>
  </si>
  <si>
    <t xml:space="preserve">TRIS_RH_ARCOS_Overtime_Weekly FAILED. </t>
  </si>
  <si>
    <t>s(TRIS_RH_ARCOS_Sched_Daily)</t>
  </si>
  <si>
    <t>/api/core/payroll/v1/ARCOSOvertimeYearly/rezero-standings</t>
  </si>
  <si>
    <t xml:space="preserve"> TRIS ARCOS Yearly -- Re-Zero Standings -- Jim Barnett 314-630-7969  #RN#DV-HR-TR# CHG0000000xxxxx </t>
  </si>
  <si>
    <t xml:space="preserve">TRIS_RH_ARCOS_Yearly_Box </t>
  </si>
  <si>
    <t xml:space="preserve">$$TRIS_BATCHDIR\ARCOSOvertimeYearlyProcess\ARCOSOvertimeYearlyProcess.exe </t>
  </si>
  <si>
    <t xml:space="preserve">TRIS_RH_ARCOS_Overtime_Yearly FAILED. </t>
  </si>
  <si>
    <t>s(TRIS_RH_ARCOS_SFTP_Daily)</t>
  </si>
  <si>
    <t>$$TRIS_BATCHDIR\ARCOSDeleteFiles\ARCOSDeleteFiles.exe</t>
  </si>
  <si>
    <t>/api/core/payroll/v1/ARCOSSchedulingInterface/build-schedule-file</t>
  </si>
  <si>
    <t xml:space="preserve"> TRIS daily ARCOS Schedule interface #RH#DV-HR-TR# CHG CHG0000000xxxxx </t>
  </si>
  <si>
    <t xml:space="preserve">$$TRIS_BATCHDIR\ARCOSScheduleInterface\ARCOSSchedulingInterface.exe </t>
  </si>
  <si>
    <t xml:space="preserve">TRIS_RH_ARCOS_Sched_Daily FAILED. </t>
  </si>
  <si>
    <t>we</t>
  </si>
  <si>
    <t xml:space="preserve">TRIS ARCOS Weekly Create next Standing CHG0000000xxxxx </t>
  </si>
  <si>
    <t xml:space="preserve">	C:\TRISBatch\ARCOSOvertimeWeeklyProcess\ARCOSOvertimeWeeklyProcess.exe</t>
  </si>
  <si>
    <t xml:space="preserve">TRIS ARCOS Yearly -- Re-Zero Standings -- Jim Barnett 314-630-7969 CHG0000000xxxxx </t>
  </si>
  <si>
    <t>AM_1st_WED_JAN</t>
  </si>
  <si>
    <t xml:space="preserve">This runs the TRIS portion of the contract payroll </t>
  </si>
  <si>
    <t>C:\TRISBatch\ARCOSOvertimeYearlyProcess\ARCOSOvertimeYearlyProcess.exe</t>
  </si>
  <si>
    <t>/api/core/notification/v1/jobs/buildFile</t>
  </si>
  <si>
    <t xml:space="preserve"> Build File for DB2 Load of VJOB_TR   #RH#DV-HR-TR# CHG0000000xxxxx </t>
  </si>
  <si>
    <t xml:space="preserve">TRIS_RH_Contract_Final </t>
  </si>
  <si>
    <t xml:space="preserve">$$TRIS_BATCHDIR\BuildDB2LoadFiles\BuildVjob\BuildVjob.exe </t>
  </si>
  <si>
    <t xml:space="preserve">TRIS_RH_Contract_Final_010_BuildPayrollFiles_vJOB_TR   FAILED </t>
  </si>
  <si>
    <t>On demand</t>
  </si>
  <si>
    <t>/api/core/notification/v1/departments/buildFile</t>
  </si>
  <si>
    <t xml:space="preserve"> Build File for DB2 Load of VDEPT_TBL_TR #RH#DV-HR-TR# CHG0000000xxxxx </t>
  </si>
  <si>
    <t xml:space="preserve">$$TRIS_BATCHDIR\BuildDB2LoadFiles\BuildVdept\BuildVdept.exe </t>
  </si>
  <si>
    <t xml:space="preserve">TRIS_RH_Contract_Final_020_BuildPayrollFiles_vDEPT_TBL_TR  FAILED </t>
  </si>
  <si>
    <t xml:space="preserve">	C:\TRISBatch\BuildDB2LoadFiles\BuildVjob\BuildVjob.exe</t>
  </si>
  <si>
    <t>/api/core/notification/v1/jobcodes/buildFile</t>
  </si>
  <si>
    <t xml:space="preserve"> Build File for DB2 Load of VJOBCODE_TBL_TR #RH#DV-HR-TR# CHG0000000xxxxx </t>
  </si>
  <si>
    <t xml:space="preserve">$$TRIS_BATCHDIR\BuildDB2LoadFiles\BuildVjobcode\BuildVjobcode.exe </t>
  </si>
  <si>
    <t xml:space="preserve">TRIS_RH_Contract_Final_030_BuildPayrollFiles_vJOBCODE_TBL_TR   FAILED </t>
  </si>
  <si>
    <t>s(TRIS_RH_Contract_Final_010_BuildPayrollFiles_vJOB_TR)</t>
  </si>
  <si>
    <t xml:space="preserve">	C:\TRISBatch\BuildDB2LoadFiles\BuildVdept\BuildVdept.exe</t>
  </si>
  <si>
    <t>/api/core/common/v1/JobSalaryStep/generate-file</t>
  </si>
  <si>
    <t xml:space="preserve"> Build File for DB2 Load of VSAL_STEP_TBL_TR #RH#DV-HR-TR# CHG0000000xxxxx </t>
  </si>
  <si>
    <t xml:space="preserve">$$TRIS_BATCHDIR\BuildDB2LoadFiles\BuildVsalarystep\BuildVsalarystep.exe </t>
  </si>
  <si>
    <t xml:space="preserve">TRIS_RH_Contract_Final_040_BuildPayrollFiles_vSAL_STEP_TR FAILED </t>
  </si>
  <si>
    <t xml:space="preserve">	s(TRIS_RH_Contract_Final_020_BuildPayrollFiles_vDEPT_TBL_TR)</t>
  </si>
  <si>
    <t xml:space="preserve">	C:\TRISBatch\BuildDB2LoadFiles\BuildVjobcode\BuildVjobcode.exe</t>
  </si>
  <si>
    <t>NA</t>
  </si>
  <si>
    <t xml:space="preserve"> FTP of file to load into VJOB_TR load #RH#DV-HR-TR# CHG0000000xxxxx </t>
  </si>
  <si>
    <t xml:space="preserve">FTP  </t>
  </si>
  <si>
    <t xml:space="preserve">ASYSFTPP@SYSC </t>
  </si>
  <si>
    <t xml:space="preserve"> V_TRIS_BATCH </t>
  </si>
  <si>
    <t xml:space="preserve">TRIS_RH_Contract_Final_050_BuildPayrollFiles_FTP_vJOB_TR FAILED </t>
  </si>
  <si>
    <t xml:space="preserve">A </t>
  </si>
  <si>
    <t xml:space="preserve"> UPLOAD </t>
  </si>
  <si>
    <t xml:space="preserve"> $$TRIS_BATCHDIR\\DB2LoadFiles\\VJOB-TR-EXTRACT.txt </t>
  </si>
  <si>
    <t xml:space="preserve">ITP.DATA.JOB </t>
  </si>
  <si>
    <t xml:space="preserve">SYSC.ameren.com </t>
  </si>
  <si>
    <t xml:space="preserve"> Simple </t>
  </si>
  <si>
    <t>S(TRIS_RH_Contract_Final_030_BuildPayrollFiles_vJOBCODE_TR  )</t>
  </si>
  <si>
    <t xml:space="preserve">	C:\TRISBatch\BuildDB2LoadFiles\BuildVsalarystep\BuildVsalarystep.exe</t>
  </si>
  <si>
    <t xml:space="preserve"> FTP of file to load into VDEPT_TBL_TR load #RH#DV-HR-TR# CHG0000000xxxxx </t>
  </si>
  <si>
    <t xml:space="preserve">TRIS_RH_Contract_Final_060_BuildPayrollFiles_FTP_vDEPT_TR  FAILED </t>
  </si>
  <si>
    <t xml:space="preserve"> $$TRIS_BATCHDIR\\DB2LoadFiles\\VDEPT-TBL-TR-EXTRACT.txt </t>
  </si>
  <si>
    <t xml:space="preserve">ITP.DATA.DEPT </t>
  </si>
  <si>
    <t>S(TRIS_RH_Contract_Final_040_BuildPayrollFiles_vSAL_STEP_TR)</t>
  </si>
  <si>
    <t xml:space="preserve"> FTP of file to load into VJOBCODE_TBL_TR load #RH#DV-HR-TR# CHG0000000xxxxx </t>
  </si>
  <si>
    <t xml:space="preserve">TRIS_RH_Contract_Final_070_BuildPayrollFiles_FTP_vJOBCODE FAILED </t>
  </si>
  <si>
    <t xml:space="preserve"> $$TRIS_BATCHDIR\\DB2LoadFiles\\VJOBCODE-TBL-TR-EXTRACT.txt </t>
  </si>
  <si>
    <t xml:space="preserve">ITP.DATA.JOBCODE </t>
  </si>
  <si>
    <t>S(TRIS_RH_Contract_Final_050_BuildPayrollFiles_FTP_vJOB_TR)</t>
  </si>
  <si>
    <t xml:space="preserve"> FTP of file to load into VSAL_STEP_TBL_TR load #RH#DV-HR-TR# CHG0000000xxxxx </t>
  </si>
  <si>
    <t xml:space="preserve">TRIS_RH_Contract_Final_080_BuildPayrollFiles_FTP_vSAL  FAILED </t>
  </si>
  <si>
    <t xml:space="preserve"> $$TRIS_BATCHDIR\\DB2LoadFiles\\VSAL-STEP-TBL-TR-EXTRACT.txt </t>
  </si>
  <si>
    <t xml:space="preserve">ITP.DATA.SAL.STP </t>
  </si>
  <si>
    <t>S(TRIS_RH_Contract_Final_060_BuildPayrollFiles_FTP_vDEPT_TR)</t>
  </si>
  <si>
    <t>Cobol</t>
  </si>
  <si>
    <t xml:space="preserve"> Loads the FTP files that contained HR data for Payroll into DB2 Tables   #RH#DV-HR-TR# CHG0000000xxxxx </t>
  </si>
  <si>
    <t xml:space="preserve">ZOS  </t>
  </si>
  <si>
    <t>ESPAE</t>
  </si>
  <si>
    <t xml:space="preserve"> V_TRIS_TRJobs2MF </t>
  </si>
  <si>
    <t xml:space="preserve">CF.STARTPDS </t>
  </si>
  <si>
    <t xml:space="preserve">AR13895 </t>
  </si>
  <si>
    <t xml:space="preserve">DLTRISTeam@ameren.com </t>
  </si>
  <si>
    <t xml:space="preserve">TRIS_RH_Contract_Final_200_MF_AR13895   FAILED.   Loads the FTP files that contained HR data for Payroll into DB2 Tables </t>
  </si>
  <si>
    <t>action=STOP,rc=4\:4095,result=FAILURE</t>
  </si>
  <si>
    <t xml:space="preserve"> Fills tables for view VJOB_TR_EFF which allows the HR History records to have a start and end date versus just an effective date.     #RH#DV-HR-TR# CHG00000000xxxx </t>
  </si>
  <si>
    <t xml:space="preserve">$$TRIS_BATCHDIR\PSJobViewRefresh\PS2TRIS.exe </t>
  </si>
  <si>
    <t xml:space="preserve">TRIS_RH_Contract_Final_300_Build_HR_History_View FAILED.   Fills tables for view VJOB_TR_EFF which allows the HR History records to have a start and end date versus just an effective date. Look in \C\\TRISBatch\\Logs\ on server </t>
  </si>
  <si>
    <t>S(TRIS_RH_Contract_Final_080_BuildPayrollFiles_FTP_Vsal)</t>
  </si>
  <si>
    <t>TR33003:  IEBGENERs to manage files and Utilities to load tables</t>
  </si>
  <si>
    <t xml:space="preserve"> Mainframe Contract Payroll processing that produces Payroll file that is used in TRIS_RH_Contract_Final_550_Send_ToPayroll to build a JSON request to send to Workday    #RH#DV-HR-TR# CHG0000000xxxxx </t>
  </si>
  <si>
    <t xml:space="preserve">UE.STARTPDS </t>
  </si>
  <si>
    <t xml:space="preserve">TR33200 </t>
  </si>
  <si>
    <t>TRIS_RH_Contract_Final_410_MF_TR33200  FAILED.  Mainframe Contract Payroll processing that produces Payroll file that is used in TRIS_RH_Contract_Final_550_Send_ToPayroll to build a JSON request to send to Workday</t>
  </si>
  <si>
    <t>action=STOP,rc=1\:4095,result=FAILURE</t>
  </si>
  <si>
    <t>s(TRIS_RH_Contract_Final_200_MF_AR13895)</t>
  </si>
  <si>
    <t xml:space="preserve">	C:\TRISBatch\PSJobViewRefresh\PS2TRIS.exe</t>
  </si>
  <si>
    <t xml:space="preserve"> FTPs Mainframe Payroll File built in TRIS_RH_Contract_Final_410_MF_TR33200 to Autosys server    #RH#DV-HR-TR# CHG0000000xxxxx </t>
  </si>
  <si>
    <t xml:space="preserve">AR13687 </t>
  </si>
  <si>
    <t>TRIS_RH_Contract_Final_420_MF_AR13687  FAILED.  FTPs Mainframe Payroll File built in TRIS_RH_Contract_Final_410_MF_TR33200 to Autosys server</t>
  </si>
  <si>
    <t>s(TRIS_RH_Contract_Final_300_Build_HR_History_View)</t>
  </si>
  <si>
    <t>TR33200:
TR001-Extract actual time and adjustments
TR039-Missing time report (33729)
TR051-Allowed time records
TR052-Split extract file for sick leave
TR003-Allowed time (actual time) processing
TR050-Create sick leave detail
TR021-Adjustment processing
TR003C-CIPS Allowed time (actual time) processing (Report 33708)
TR050-Create CIPS sick leave detail
TR021C CIPS Adjustment processing
TR105-Load sick leave detail and banks work tables
TR106-Process sick leave
TR131-Sick leave LTD messages
TR108-Sick leave messages report (Report TR33801)
TR004-Payroll earnings proof (Report 33700)
TR005-Payroll deviations (Rpeort 33703)
TR060-Paysheet prep
TR061-Print repor 33781 paysheet memo report
TR033-Unlock departments
TR037-Update final cycle number</t>
  </si>
  <si>
    <t>https://rxvavgtcv7.execute-api.us-east-1.amazonaws.com/dev/tr-33200</t>
  </si>
  <si>
    <t>TR_RN_ContractPayroll_TR33200_Trigger_Box</t>
  </si>
  <si>
    <t xml:space="preserve"> Copies Mainframe payroll file on the Autosys server to the RIS folder on the Corporate share drive    #RH#DV-HR-TR# CHG0000000xxxxx </t>
  </si>
  <si>
    <t>V_TRIS_MFFTP</t>
  </si>
  <si>
    <t xml:space="preserve"> %FTPDir2%\Exec\copy_file.bat %FTPDir%\tr_payroll_cont.txt \\corp.dir.ameren.com\dfs\Orgdrv\TRIS\MKS\tr_payroll_cont.txt </t>
  </si>
  <si>
    <t xml:space="preserve">TRIS_RH_Contract_Final_530_Send_Copy_PayrollFile  JOB FAILED.   Copies Mainframe payroll file on the Autosys server to the RIS folder on the Corporate share drive </t>
  </si>
  <si>
    <t xml:space="preserve">%FTPDir2%\Logs\Payroll_stdout.txt </t>
  </si>
  <si>
    <t xml:space="preserve"> %FTPDir2%\Logs\Payroll_stderr.txt </t>
  </si>
  <si>
    <t>12a</t>
  </si>
  <si>
    <t>s(TRIS_RH_Contract_Final_410_MF_TR33200)</t>
  </si>
  <si>
    <t xml:space="preserve">TR33007(Sends (FTP)  contract payroll file to be processed to workday payroll)
</t>
  </si>
  <si>
    <t xml:space="preserve"> Moves Mainframe Payroll file from the TRIS folder on the Corporate share drive to the TRIS Server (V_TRIS_BATCH)          #RH#DV-HR-TR# CHG0000000xxxxx </t>
  </si>
  <si>
    <t xml:space="preserve">$$TRIS_BATCHDIR\MoveMainframeFiles\MovePayrollFile\MovePayrollFile.exe </t>
  </si>
  <si>
    <t xml:space="preserve">TRIS_RH_Contract_Final_540_Send_Move_PayrollFile FAILED.   Moves Mainframe Payroll file from the TRIS folder on the Corporate share drive to the TRIS Server (V_TRIS_BATCH) </t>
  </si>
  <si>
    <t>13a</t>
  </si>
  <si>
    <t>s(TRIS_RH_Contract_Final_420_MF_AR13687)</t>
  </si>
  <si>
    <t xml:space="preserve">	%FTPDir2%\Exec\copy_file.bat %FTPDir%\tr_payroll_cont.txt \\corp.dir.ameren.com\dfs\Orgdrv\TRIS\MKS\tr_payroll_cont.txt</t>
  </si>
  <si>
    <t>/api/core/notification/v1/WorkdayPayroll/execute</t>
  </si>
  <si>
    <t xml:space="preserve"> Send Payroll to Workday #RH#DV-HR-TR# CHG0000000xxxxx </t>
  </si>
  <si>
    <t xml:space="preserve">$$TRIS_BATCHDIR\WorkdayPayrollInterface\WorkdayPayrollInterface.exe </t>
  </si>
  <si>
    <t xml:space="preserve">TRIS_RH_Contract_Final_550_Send_ToPayroll  FAILED </t>
  </si>
  <si>
    <t>14a</t>
  </si>
  <si>
    <t>s(TRIS_RH_Contract_Final_530_Send_Copy_PayrollFile)</t>
  </si>
  <si>
    <t>C:\TRISBatch\MoveMainframeFiles\MovePayrollFile\MovePayrollFile.exe</t>
  </si>
  <si>
    <t xml:space="preserve"> Updates the sick leave banks to be viewed in TRIS after the Contract Final Job completes TRIS_RH_Contract_Final_210_MF_TR33200    #RH#DV-HR-TR# CHG0000000xxxxx (dynamic sick leave processing)</t>
  </si>
  <si>
    <t xml:space="preserve">TR33206 </t>
  </si>
  <si>
    <t>TRIS_RH_Contract_Final_600_MF_TR33206  FAILED.  Updates the sick leave banks to be viewed in TRIS after the Contract Final Job completes TRIS_RH_Contract_Final_210_MF_TR33200</t>
  </si>
  <si>
    <t>15a</t>
  </si>
  <si>
    <t>s(TRIS_RH_Contract_Final_540_Send_Move_PayrollFile)</t>
  </si>
  <si>
    <t xml:space="preserve">	C:\TRISBatch\WorkdayPayrollInterface\WorkdayPayrollInterface.exe</t>
  </si>
  <si>
    <t xml:space="preserve">Contract Preliminary Job on Request   #RH#DV-HR-TR# CHG0000000xxxxx </t>
  </si>
  <si>
    <t xml:space="preserve">V_TRIS_TRJobs2MF </t>
  </si>
  <si>
    <t xml:space="preserve">TR33103N </t>
  </si>
  <si>
    <t xml:space="preserve">TRIS_RH_Contract_Preliminary_OnRequest_MF_TR33103N  FAILED.   Contract Preliminary Job on Request </t>
  </si>
  <si>
    <t>12b</t>
  </si>
  <si>
    <t xml:space="preserve">TR33206:
TR109-Update sick leave banks with current balances
TR107-Update sick leave detail and banks from work tables
TR077-Sick leave detail report
TR042-CIPS/Gen local 702 sick leave reports
TR029-Report 33701-Reported Time Adjustments
TR026-Split Exception codes for allowed time
TR135-Allowed time detail table update
TR136-Relief Hours table update
TR137-Hours worked of relief reports
TR111-Temporary Referral worker (TRW) report
TR134-Union OA 12 hour shift sick leave certiification (day 4 only) </t>
  </si>
  <si>
    <t>https://rxvavgtcv7.execute-api.us-east-1.amazonaws.com/dev/tr-33206</t>
  </si>
  <si>
    <t>TR_RN_ContractPayroll_TR33206_Trigger_Box</t>
  </si>
  <si>
    <t>/api/core/notification/v1/departments/common/buildFile</t>
  </si>
  <si>
    <t xml:space="preserve"> Builds File for DB2 Load of TAR_COMN_DEPT_TBL.  #RH#DV-HR-TR# CHG0000000xxxxx </t>
  </si>
  <si>
    <t xml:space="preserve">TRIS_RH_dailyBox </t>
  </si>
  <si>
    <t xml:space="preserve">$$TRIS_BATCHDIR\BuildDB2LoadFiles\BuildCommonDepartment\BuildCommonDepartment.exe </t>
  </si>
  <si>
    <t xml:space="preserve">TRIS_RH_daily_010_BuildCommon_Department FAILED.  Builds File for DB2 Load of TAR_COMN_DEPT_TBL.  Look in  \C\\TRISBatch\\Logs\ on server </t>
  </si>
  <si>
    <t>Failure of mainframe job</t>
  </si>
  <si>
    <t>TR33103:
TR033-Lock departments on the last prelim run before final
TR001-Extract actual time and adjustments
TR039-Missing time report (33729)
TR051-Allowed time records
TR052-Split extract file for sick leave
TR003-Allowed time (actual time) processing
TR050-Create sick leave detail
TR021-Adjustment processing
TR117-702 check previous year fmla
TR003C-CIPS Allowed time (actual time) processing
TR050-Create sick leave detail
TR021C CIPS Adjustment processing
TR104-Sick leave certification
TR115-Sick leave FMLA updates
TR105-Load sick leave detail and banks work tables
TR106-Process sick leave
TR108-Sick leave messages report (Report TR33801)
TR004-Payroll earnings proof (Report 33700)
TR005-Payroll deviations (Rpeort 33703)
TR077-Sick leave detail report
TR029-Report 33701-Reported Time Adjustments (33701)</t>
  </si>
  <si>
    <t>https://rxvavgtcv7.execute-api.us-east-1.amazonaws.com/dev/tr-33103n</t>
  </si>
  <si>
    <t>TR_RN_ContractPayroll_TR33103N_Trigger_Box</t>
  </si>
  <si>
    <t>/api/core/notification/v1/employees/buildFile</t>
  </si>
  <si>
    <t xml:space="preserve"> Builds File for DB2 Load of TAR_COMN_EMP_TBL and Builds for DB2 Load of THRDB_EMPLOYEE_TBL  #RH#DV-HR-TR# CHG0000000xxxxx </t>
  </si>
  <si>
    <t xml:space="preserve">$$TRIS_BATCHDIR\BuildDB2LoadFiles\BuildCommonEmployeeFile\BuildCommonEmployeeFile.exe </t>
  </si>
  <si>
    <t xml:space="preserve">TRIS_RH_daily_020_BuildCommon_Employee FAILED.  Builds File for DB2 Load of TAR_COMN_EMP_TBL and Builds for DB2 Load of THRDB_EMPLOYEE_TBL.  Look in \C\\TRISBatch\\Logs\ on server </t>
  </si>
  <si>
    <t xml:space="preserve"> FTP of file to load into TAR_COMN_DEPT_TBL.    #RH#DV-HR-TR# CHG0000000xxxxx </t>
  </si>
  <si>
    <t xml:space="preserve">TRIS_RH_daily_030_BuildCommon_FTP_Department FAILED.   FTP of file to load into TAR_COMN_DEPT_TBL. </t>
  </si>
  <si>
    <t xml:space="preserve"> $$TRIS_BATCHDIR\\DB2LoadFiles\\CommonDepartment-EXTRACT.txt </t>
  </si>
  <si>
    <t xml:space="preserve">ITP.DATA.GDG.DEPT.EXTRT </t>
  </si>
  <si>
    <t>mo,tu,we,th,fr,sa</t>
  </si>
  <si>
    <t>C:\TRISBatch\BuildDB2LoadFiles\BuildCommonDepartment\BuildCommonDepartment.exe</t>
  </si>
  <si>
    <t xml:space="preserve"> FTP a file to load into TAR_COMN_EMPL_TBL.   #RH#DV-HR-TR# CHG0000000xxxxx </t>
  </si>
  <si>
    <t xml:space="preserve">TRIS_RH_daily_040_BuildCommon_FTP_Employee  FAILED.  FTP a file to load into TAR_COMN_EMPL_TBL </t>
  </si>
  <si>
    <t xml:space="preserve"> $$TRIS_BATCHDIR\\DB2LoadFiles\\COMNEMPL-EXTRACT.txt </t>
  </si>
  <si>
    <t xml:space="preserve">ITP.DATA.GDG.EMPL.EXTRT </t>
  </si>
  <si>
    <t>s(TRIS_RH_daily_010_BuildCommon_Department)</t>
  </si>
  <si>
    <t xml:space="preserve">	C:\TRISBatch\BuildDB2LoadFiles\BuildCommonEmployeeFile\BuildCommonEmployeeFile.exe</t>
  </si>
  <si>
    <t xml:space="preserve"> FTP a File for DB2 Load of THRDB_EMPLOYEE_TBL  #RH#DV-HR-TR# CHG0000000xxxxx </t>
  </si>
  <si>
    <t xml:space="preserve">TRIS_RH_daily_050_BuildCommon_FTP_THRDBEmployee  FAILED.  FTP a File for DB2 Load of THRDB_EMPLOYEE_TBL </t>
  </si>
  <si>
    <t xml:space="preserve"> $$TRIS_BATCHDIR\\DB2LoadFiles\\THRDB-EMPLOYEE-EXTRACT.txt </t>
  </si>
  <si>
    <t xml:space="preserve">ITP.DATA.GDG.EMPL.DB2 </t>
  </si>
  <si>
    <t xml:space="preserve">s(TRIS_RH_daily_020_BuildCommon_Employee </t>
  </si>
  <si>
    <t>/api/core/notification/v1/build/associations/buildFile</t>
  </si>
  <si>
    <t xml:space="preserve"> Builds File for maintaining the TTR_ASSOCIATIONS table in mainframe job UE.STARTPDS(TR33107N).   #RH#DV-HR-TR# CHG0000000xxxxx </t>
  </si>
  <si>
    <t xml:space="preserve">$$TRIS_BATCHDIR\BuildDB2LoadFiles\BuildAssociations\BuildAssociations.exe </t>
  </si>
  <si>
    <t xml:space="preserve">TRIS_RH_daily_070_BuildCommon_Associations FAILED.  Builds File for maintaining the TTR_ASSOCIATIONS table in mainframe job UE.STARTPDS(TR33107N). Look in \C\\TRISBatch\\Logs\ on server </t>
  </si>
  <si>
    <t>s(TRIS_RH_daily_030_BuildCommon_FTP_Department</t>
  </si>
  <si>
    <t xml:space="preserve"> FTP a file to process in UE.STARTPDS(TR33107N).    #RH#DV-HR-TR# CHG0000000xxxxx </t>
  </si>
  <si>
    <t xml:space="preserve">TRIS_RH_daily_080_BuildCommon_FTP_Associations  FAILED.  FTP a file to process in UE.STARTPDS(TR33107N). </t>
  </si>
  <si>
    <t xml:space="preserve"> $$TRIS_BATCHDIR\\DB2LoadFiles\\TTR-ASSOCIATIONS-EXTRACT.txt </t>
  </si>
  <si>
    <t xml:space="preserve">ITP.DATA..DPTTABLE </t>
  </si>
  <si>
    <t>s(TRIS_RH_daily_040_BuildCommon_FTP_Employee</t>
  </si>
  <si>
    <t xml:space="preserve">TRIS_RH_daily_100_BuildPayrollFiles_vJOB_TR  FAILED.   Build File for DB2 Load of VJOB_TR.  Look in \C\\TRISBatch\\Logs\ on server </t>
  </si>
  <si>
    <t>s(TRIS_RH_daily_050_BuildCommon_FTP_THRDBEmployee</t>
  </si>
  <si>
    <t xml:space="preserve">	C:\TRISBatch\BuildDB2LoadFiles\BuildAssociations\BuildAssociations.exe</t>
  </si>
  <si>
    <t xml:space="preserve"> Build File for DB2 Load of VDEPT_TBL_TR   #RH#DV-HR-TR# CHG0000000xxxxx </t>
  </si>
  <si>
    <t xml:space="preserve">TRIS_RH_daily_110_BuildPayrollFiles_vDEPT_TBL_TR  FAILED.  Build File for DB2 Load of VDEPT_TBL_TR.  Look in \C\\TRISBatch\\Logs\ on server </t>
  </si>
  <si>
    <t>s(TRIS_RH_daily_070_BuildCommon_Associations</t>
  </si>
  <si>
    <t xml:space="preserve"> Build File for DB2 Load of VJOBCODE_TBL_TR    #RH#DV-HR-TR# CHG0000000xxxxx </t>
  </si>
  <si>
    <t xml:space="preserve">TRIS_RH_daily_120_BuildPayrollFiles_vJOBCODE_TBL_TR  FAILED.   Build File for DB2 Load of VJOBCODE_TBL_TR.   Look in \C\\TRISBatch\\Logs\ on server </t>
  </si>
  <si>
    <t xml:space="preserve">s(TRIS_RH_daily_080_BuildCommon_FTP_Associations </t>
  </si>
  <si>
    <t xml:space="preserve"> Build File for DB2 Load of VSAL_STEP_TBL_TR    #RH#DV-HR-TR# CHG0000000xxxxx </t>
  </si>
  <si>
    <t xml:space="preserve">TRIS_RH_daily_130_BuildPayrollFiles_vSAL_STEP_TBL_TR  FAILED.  Build File for DB2 Load of VSAL_STEP_TBL_TR.   Look in \C\\TRISBatch\\Logs\ on server </t>
  </si>
  <si>
    <t xml:space="preserve">s(TRIS_RH_daily_100_BuildPayrollFiles_vJOB_TR </t>
  </si>
  <si>
    <t>C:\TRISBatch\BuildDB2LoadFiles\BuildVdept\BuildVdept.exe</t>
  </si>
  <si>
    <t xml:space="preserve"> FTP of file to load into VJOB_TR load   #RH#DV-HR-TR# CHG0000000xxxxx </t>
  </si>
  <si>
    <t xml:space="preserve">TRIS_RH_daily_140_BuildPayrollFiles_FTP_vJOB_TR FAILED.  FTP of file to load into VJOB_TR load. </t>
  </si>
  <si>
    <t xml:space="preserve">s(TRIS_RH_daily_110_BuildPayrollFiles_vDEPT_TBL_TR    </t>
  </si>
  <si>
    <t>C:\TRISBatch\BuildDB2LoadFiles\BuildVjobcode\BuildVjobcode.exe</t>
  </si>
  <si>
    <t xml:space="preserve"> FTP of file to load into VDEPT_TBL_TR   #RH#DV-HR-TR# CHG0000000xxxxx </t>
  </si>
  <si>
    <t xml:space="preserve">TRIS_RH_daily_150_BuildPayrollFiles_FTP_vDEPT_TBL_TR  FAILED.  FTP of file to load into VDEPT_TBL_TR. </t>
  </si>
  <si>
    <t xml:space="preserve">s(TRIS_RH_daily_120_BuildPayrollFiles_vJOBCODE_TBL_TR  </t>
  </si>
  <si>
    <t>C:\TRISBatch\BuildDB2LoadFiles\BuildVsalarystep\BuildVsalarystep.exe</t>
  </si>
  <si>
    <t xml:space="preserve"> FTP of file to load into VJOBCODE_TBL_TR   #RH#DV-HR-TR# CHG0000000xxxxx </t>
  </si>
  <si>
    <t xml:space="preserve">TRIS_RH_daily_160_BuildPayrollFiles_FTP_vJOBCODE_TBL_TR FAILED.  FTP of file to load into VJOBCODE_TBL_TR </t>
  </si>
  <si>
    <t xml:space="preserve">s(TRIS_RH_daily_130_BuildPayrollFiles_vSAL_STEP_TBL_TR  </t>
  </si>
  <si>
    <t xml:space="preserve"> FTP of file to load into VSAL_STEP_TBL_TR   #RH#DV-HR-TR# CHG0000000xxxxx </t>
  </si>
  <si>
    <t xml:space="preserve">TRIS_RH_daily_170_BuildPayrollFiles_FTP_vSAL_STEP_TBL_TR  FAILED.  FTP of file to load into VSAL_STEP_TBL_TR </t>
  </si>
  <si>
    <t xml:space="preserve">s(TRIS_RH_daily_140_BuildPayrollFiles_FTP_vJOB_TR     </t>
  </si>
  <si>
    <t xml:space="preserve"> Moves the Associations File that were sent in job TRIS_RH_daily_080_BuildCommon_FTP_Associations from Mainframe FTP directory to a Mainframe dataset.    #RH#DV-HR-TR# CHG0000000xxxxx </t>
  </si>
  <si>
    <t xml:space="preserve">AR13872 </t>
  </si>
  <si>
    <t xml:space="preserve">TRIS_RH_daily_300_MF_AR13872 FAILED.  Moves the Associations File that were sent in job TRIS_RH_daily_080_BuildCommon_FTP_Associations from Mainframe FTP directory to a Mainframe dataset. </t>
  </si>
  <si>
    <t xml:space="preserve">s(TRIS_RH_daily_150_BuildPayrollFiles_FTP_vDEPT_TBL_TR     </t>
  </si>
  <si>
    <t xml:space="preserve"> Moves the Files that were sent in jobs TRIS_RH_daily_030, TRIS_RH_daily_040, &amp; TRIS_RH_daily_050 from Mainframe FTP directory to  Mainframe datasets    #RH#DV-HR-TR# CHG0000000xxxxx </t>
  </si>
  <si>
    <t xml:space="preserve">AR13999 </t>
  </si>
  <si>
    <t>TRIS_RH_daily_310_MF_AR13999  FAILED.  Moves the Files that were sent in jobs TRIS_RH_daily_030, TRIS_RH_daily_040, &amp; TRIS_RH_daily_050 from Mainframe FTP directory to  Mainframe datasets</t>
  </si>
  <si>
    <t xml:space="preserve">s(TRIS_RH_daily_160_BuildPayrollFiles_FTP_vJOBCODE_TBL_TR    </t>
  </si>
  <si>
    <t xml:space="preserve"> Moves the Files that were sent in jobs TRIS_RH_daily_140, TRIS_RH_daily_150, TRIS_RH_daily_160,  &amp; TRIS_RH_daily_170 from Mainframe FTP directory to  Mainframe datasets. It then loads the data into DB2 Tables    #RH#DV-HR-TR# CHG0000000xxxxx </t>
  </si>
  <si>
    <t>TRIS_RH_daily_320_MF_AR13895  FAILED.  Moves the Files that were sent in jobs TRIS_RH_daily_140, TRIS_RH_daily_150, TRIS_RH_daily_160,  &amp; TRIS_RH_daily_170 from Mainframe FTP directory to  Mainframe datasets. It then loads the data into DB2 Tables</t>
  </si>
  <si>
    <t>action=STOP,rc=5\:4095,result=FAILURE</t>
  </si>
  <si>
    <t xml:space="preserve">s(TRIS_RH_daily_170_BuildPayrollFiles_FTP_vSAL_STEP_TBL_TR   </t>
  </si>
  <si>
    <t>TR33004-moves/copies file</t>
  </si>
  <si>
    <t xml:space="preserve"> Loads the Common Employee and Common Department tables sent from jobs TRIS_RH_daily_030, TRIS_RH_daily_040 and moved in job TRIS_RH_daily_310_MF_AR13999    #RH#DV-HR-TR# CHG0000000xxxxx </t>
  </si>
  <si>
    <t xml:space="preserve">DB12287N </t>
  </si>
  <si>
    <t>TRIS_RH_daily_330_MF_DB12287N   FAILED.  Loads the Common Employee and Common Department tables sent from jobs TRIS_RH_daily_030, TRIS_RH_daily_040 and moved in job TRIS_RH_daily_310_MF_AR13999</t>
  </si>
  <si>
    <t>s(TRIS_RH_daily_300_MF_AR13872)</t>
  </si>
  <si>
    <t>TR33002</t>
  </si>
  <si>
    <t xml:space="preserve"> Loads the THRDB Employee table sent from job TRIS_RH_daily_050 and moved in job TRIS_RH_daily_310_MF_AR13999    #RH#DV-HR-TR# CHG0000000xxxxx </t>
  </si>
  <si>
    <t xml:space="preserve">DB12005N </t>
  </si>
  <si>
    <t>TRIS_RH_daily_340_MF_DB12005N  FAILED.  Loads the THRDB Employee table sent from job TRIS_RH_daily_050 and moved in job TRIS_RH_daily_310_MF_AR13999</t>
  </si>
  <si>
    <t xml:space="preserve">s(TRIS_RH_daily_310_MF_AR13999)  </t>
  </si>
  <si>
    <t>TR33003</t>
  </si>
  <si>
    <t xml:space="preserve"> Fills tables for view VJOB_TR_EFF which allows the HR History records to have a start and end date versus just an effective date.   #RH#DV-HR-TR# CHG00000000xxxx </t>
  </si>
  <si>
    <t xml:space="preserve">TRIS_RH_daily_380_Build_HR_History_View  FAILED.  Fills tables for view VJOB_TR_EFF which allows the HR History records to have a start and end date versus just an effective date </t>
  </si>
  <si>
    <t>s(TRIS_RH_daily_320_MF_AR13895)</t>
  </si>
  <si>
    <t xml:space="preserve">Loads the Common Employee and Common Department tables </t>
  </si>
  <si>
    <t xml:space="preserve"> Maintains the TTR_JOBS table (TR014)   #RH#DV-HR-TR# CHG0000000xxxxx </t>
  </si>
  <si>
    <t xml:space="preserve">TR33106N </t>
  </si>
  <si>
    <t xml:space="preserve">TRIS_RH_daily_410_MF_TR33106   FAILED.  Maintains the TTR_JOBS table (TR014) </t>
  </si>
  <si>
    <t>s(TRIS_RH_daily_330_MF_DB12287N)</t>
  </si>
  <si>
    <t>Loads the THRDB Employee table sent from job TRIS_RH_daily_050</t>
  </si>
  <si>
    <t xml:space="preserve"> Maintains the TTR_ASSOCIATIONS table (TR015)    #RH#DV-HR-TR# CHG0000000xxxxx </t>
  </si>
  <si>
    <t xml:space="preserve">TR33107N </t>
  </si>
  <si>
    <t xml:space="preserve">TRIS_RH_daily_420_MF_TR33107   FAILED.  Maintains the TTR_ASSOCIATIONS table (TR015) </t>
  </si>
  <si>
    <t>s(TRIS_RH_daily_340_MF_DB12005N)</t>
  </si>
  <si>
    <t xml:space="preserve"> HR/TRIS interface employee update (TR009 &amp; TR129)    #RH#DV-HR-TR# CHG0000000xxxxx </t>
  </si>
  <si>
    <t xml:space="preserve">TR33102N </t>
  </si>
  <si>
    <t xml:space="preserve">TRIS_RH_daily_430_MF_TR33102  FAILED.  HR/TRIS interface employee update (TR009 &amp; TR129) </t>
  </si>
  <si>
    <t xml:space="preserve">s(TRIS_RH_daily_380_Build_HR_History_View)   </t>
  </si>
  <si>
    <t xml:space="preserve">TR33106
TR014-Update job table 
</t>
  </si>
  <si>
    <t>https://rxvavgtcv7.execute-api.us-east-1.amazonaws.com/dev/batch-job</t>
  </si>
  <si>
    <t xml:space="preserve">
Pass</t>
  </si>
  <si>
    <t>TR_RN_Maintain_TR33106N_Trigger_Box</t>
  </si>
  <si>
    <t>/api/core/payroll/v1/VacAllotment/Main</t>
  </si>
  <si>
    <t>Updates the Vacation allotment for new hires</t>
  </si>
  <si>
    <t>$$TRIS_BATCHDIR\VacationAllotment\Ameren.TRIS.Server.Batch.VAllotment.exe</t>
  </si>
  <si>
    <t>gs,mx</t>
  </si>
  <si>
    <t>TRIS_RH_daily_435_Vacation_Allotment  FAILED</t>
  </si>
  <si>
    <t>Pass</t>
  </si>
  <si>
    <t xml:space="preserve">s(TRIS_RH_daily_410_MF_TR33106)     </t>
  </si>
  <si>
    <t>TR33107
TR015-Assocation table maitenance
TR085-Association table data issue</t>
  </si>
  <si>
    <t>https://rxvavgtcv7.execute-api.us-east-1.amazonaws.com/dev/tr-33107</t>
  </si>
  <si>
    <t xml:space="preserve">
Pass
Pass</t>
  </si>
  <si>
    <t>TR_RN_Maintain_TR33107_Trigger_Box</t>
  </si>
  <si>
    <t>Need to update</t>
  </si>
  <si>
    <t>Removes exceptions for terminated employees and add Holidays for new hires</t>
  </si>
  <si>
    <t>$$TRIS_BATCHDIR\MaintainHolidays\MaintainHolidays.exe</t>
  </si>
  <si>
    <t>TRIS_RH_daily_437_Maintain_Holidays FAILED</t>
  </si>
  <si>
    <t xml:space="preserve">s(TRIS_RH_daily_420_MF_TR33107)     </t>
  </si>
  <si>
    <t xml:space="preserve">TR33102:
TR009-HR/TRIS Interface
TR129-Update employee effective dates
</t>
  </si>
  <si>
    <t>https://rxvavgtcv7.execute-api.us-east-1.amazonaws.com/dev/tr-33102</t>
  </si>
  <si>
    <t>TR_RN_Maintain_TR33102_Trigger_Box</t>
  </si>
  <si>
    <t xml:space="preserve"> Seniority accrual -- Adds one day of seniority (TI0510)   #RH#DV-HR-TR# CHG0000000xxxxx </t>
  </si>
  <si>
    <t xml:space="preserve">TR33136N </t>
  </si>
  <si>
    <t xml:space="preserve">TRIS_RH_daily_440_MF_TR33136   FAILED.   Seniority accrual -- Adds one day of seniority (TI0510) </t>
  </si>
  <si>
    <t xml:space="preserve">s(TRIS_RH_daily_430_MF_TR33102)     </t>
  </si>
  <si>
    <t xml:space="preserve">	$$TRIS_BATCHDIR\VacationAllotment\Ameren.TRIS.Server.Batch.VAllotment.exe</t>
  </si>
  <si>
    <t>/api/core/notification/v1/WorkdaySeniority/execute</t>
  </si>
  <si>
    <t xml:space="preserve"> Send Seniority to Workday #RH#DV-HR-TR# CHG0000000xxxxx </t>
  </si>
  <si>
    <t xml:space="preserve">$$TRIS_BATCHDIR\WorkdaySeniorityInterface\WorkdaySeniorityInterface.exe </t>
  </si>
  <si>
    <t xml:space="preserve">TRIS_RH_workday_Seniority_Interface  FAILED </t>
  </si>
  <si>
    <t>s(TRIS_RH_daily_435_Vacation_Allotment)</t>
  </si>
  <si>
    <t xml:space="preserve"> Auto Builds scheduled exception (Holiday, Vacation) time for employees in variable departments and all time for employees in fixed &amp; exception based departments.    #RH#DV-HR-TR# CHG0000000xxxxx   (i.e. TRBE)</t>
  </si>
  <si>
    <t xml:space="preserve">TR33115N </t>
  </si>
  <si>
    <t xml:space="preserve">TRIS_RH_daily_450_MF_TR33115   FAILED.   Auto Builds scheduled exception (Holiday, Vacation) time for employees in variable departments and all time for employees in fixed &amp; exception based departments. </t>
  </si>
  <si>
    <t>s(TRIS_RH_daily_437_Maintain_Holidays)</t>
  </si>
  <si>
    <t>tr33136
TI0510-Seniority accruals
TR127-TRIS to HCM seniority interface file</t>
  </si>
  <si>
    <t>https://rxvavgtcv7.execute-api.us-east-1.amazonaws.com/dev/tr-33136n</t>
  </si>
  <si>
    <t xml:space="preserve"> Contract Preliminary Job    #RH#DV-HR-TR# CHG0000000xxxxx </t>
  </si>
  <si>
    <t xml:space="preserve"> 01:00 </t>
  </si>
  <si>
    <t xml:space="preserve"> exclude_calendar: AM_holidays </t>
  </si>
  <si>
    <t xml:space="preserve">TRIS_RH_daily_600_MF_TR33103N   FAILED.   Contract Preliminary Job </t>
  </si>
  <si>
    <t xml:space="preserve">s(TRIS_RH_daily_440_MF_TR33136)    </t>
  </si>
  <si>
    <t xml:space="preserve">	C:\TRISBatch\WorkdaySeniorityInterface\WorkdaySeniorityInterface.exe</t>
  </si>
  <si>
    <t xml:space="preserve"> Contract Daily Job   #RH#DV-HR-TR# CHG0000000xxxxx </t>
  </si>
  <si>
    <t xml:space="preserve">TR33101N </t>
  </si>
  <si>
    <t xml:space="preserve">TRIS_RH_daily_700_MF_TR33101N  FAILED.   Contract Daily Job </t>
  </si>
  <si>
    <t xml:space="preserve">s(TRIS_RH_daily_445_workday_Seniority_Interface)     </t>
  </si>
  <si>
    <r>
      <t xml:space="preserve">TR33115(TRBE)
TI0504-Calculate TRBE date
TI0503-TRBE build schduled time
TI0538-TRBE straight time rebuild
</t>
    </r>
    <r>
      <rPr>
        <b/>
        <sz val="11"/>
        <color theme="1"/>
        <rFont val="Calibri"/>
        <family val="2"/>
        <scheme val="minor"/>
      </rPr>
      <t xml:space="preserve">TI0507-TRBE retry locked employee (Not on Sunder's list) </t>
    </r>
    <r>
      <rPr>
        <sz val="11"/>
        <color theme="1"/>
        <rFont val="Calibri"/>
        <family val="2"/>
        <scheme val="minor"/>
      </rPr>
      <t xml:space="preserve">
TI1003-TRBE error report
TI0508-Update TRBE Sunday date
</t>
    </r>
  </si>
  <si>
    <t>https://rxvavgtcv7.execute-api.us-east-1.amazonaws.com/dev/tr-33115n</t>
  </si>
  <si>
    <t xml:space="preserve"> TRIS BI extract #RN#DV-HR-TR# CHG00000000xxxx </t>
  </si>
  <si>
    <t xml:space="preserve">$$TRIS_BATCHDIR\TRISIMRInterface\TRISBIExtract.exe </t>
  </si>
  <si>
    <t xml:space="preserve"> 01:30 </t>
  </si>
  <si>
    <t xml:space="preserve">TRISBI_RN_TRISBIExtract FAILED. </t>
  </si>
  <si>
    <t>s(TRIS_RH_daily_450_MF_TR33115)</t>
  </si>
  <si>
    <t>TR33101N-Contract TRIS Daily job
TR001-Extract actual time and adjustments
TR051-Allowed time records
TR052-Split extract file for sick leave
TR003-Allowed time (actual time) processing
TR050-Create sick leave detail
TR021-Adjustment processing (TR33709)
TR003C-CIPS Allowed time (actual time) processing (33708)
TR050-Create CIPS Sick leave detail
TR021C-CIPS adjustment processing
TR105-Load sick leave detail and banks work tables
TR106-Process sick leave
TR108-Sick leave messages Report
TR004-Payroll earnings proof (Report 33700)
TR005-Payroll deviations (Report 33703)
TR077-Sick Leave Detail Report (33780)
TR029-Report 33701-Reported Time Adjustments (33701)</t>
  </si>
  <si>
    <t>https://rxvavgtcv7.execute-api.us-east-1.amazonaws.com/dev/tr-33101n</t>
  </si>
  <si>
    <t>/api/core/notification/v1/TRISIMRInterface/execute</t>
  </si>
  <si>
    <t xml:space="preserve"> TRIS IMR email #RN#DV-HR-TR# CHG00000000xxxx </t>
  </si>
  <si>
    <t xml:space="preserve">$$TRIS_BATCHDIR\TRISIMRInterface\IMREmail.exe </t>
  </si>
  <si>
    <t xml:space="preserve">TRISBI_RN_IMREmail FAILED. </t>
  </si>
  <si>
    <t>s(TRIS_RH_daily_700_MF_TR33101N,03.00)</t>
  </si>
  <si>
    <t xml:space="preserve">TR33103:
TR033-Lock departments on the last prelim run before final
TR001-Extract actual time and adjustments
TR039-Missing time report (33729)
TR051-Allowed time records
TR052-Split extract file for sick leave
TR003-Allowed time (actual time) processing
TR050-Create sick leave detail
TR021-Adjustment processing
TR117-702 check previous year fmla
TR003C-CIPS Allowed time (actual time) processing
TR050-Create sick leave detail
TR021C CIPS Adjustment processing
TR104-Sick leave certification
TR115-Sick leave FMLA updates
TR105-Load sick leave detail and banks work tables
TR106-Process sick leave
TR108-Sick leave messages report (Report TR33801)
TR004-Payroll earnings proof (Report 33700)
TR005-Payroll deviations (Rpeort 33703)
TR077-Sick leave detail report
TR029-Report 33701-Reported Time Adjustments (33701)
</t>
  </si>
  <si>
    <t xml:space="preserve">Processes delayed overtime bank charges (TR008) at 00:05 every day.  #RH#DV-HR-TR# CHG0000000xxxxx </t>
  </si>
  <si>
    <t xml:space="preserve">UE.STARTTPDS </t>
  </si>
  <si>
    <t xml:space="preserve">TR33108 </t>
  </si>
  <si>
    <t xml:space="preserve">TRIS_RH_Daily_everyday_0005_DelayedOTBanks_MF_TR33108.  Processes delayed overtime bank charges at 00:05 every day. </t>
  </si>
  <si>
    <t xml:space="preserve"> </t>
  </si>
  <si>
    <t xml:space="preserve">	s(TRIS_RH_daily_450_MF_TR33115,03.00)</t>
  </si>
  <si>
    <t xml:space="preserve">	C:\TRISBatch\TRISIMRInterface\TRISBIExtract.exe</t>
  </si>
  <si>
    <t xml:space="preserve">Maintains the TRIS TTR_DEPT table using the Accounting System Department Master from TRIS_RH_Daily_everyday_1900_DeptMaint_01_MF_TR33321  (TR013)    #RH#DV-HR-TR# CHG0000000xxxxx </t>
  </si>
  <si>
    <t xml:space="preserve">ITP.DV.STARTPDS </t>
  </si>
  <si>
    <t xml:space="preserve">TR33300N  (NOT USED) </t>
  </si>
  <si>
    <t xml:space="preserve">TRIS_RH_Daily_everyday_1900_DeptMaint_02_MF_TR33300  FAILED.    Maintains the TRIS TTR_DEPT table using the Accounting System Department Master from TRIS_RH_Daily_everyday_1900_DeptMaint_01_MF_TR33321  (TR013) </t>
  </si>
  <si>
    <t>s(TRIS_RH_daily_800_TRISBIExtract,01.00)</t>
  </si>
  <si>
    <t xml:space="preserve">	C:\TRISBatch\TRISIMRInterface\IMREmail.exe</t>
  </si>
  <si>
    <t>/api/core/notification/v1/WorkdayFmla/execute</t>
  </si>
  <si>
    <t xml:space="preserve">Get Workday FMLA data to maintain the TTR_EMP_FMLA table.  Runs at 19:00 everyday   TTR_EMP_FMLA #RH#DV-HR-TR# CHG0000000xxxxx </t>
  </si>
  <si>
    <t xml:space="preserve">$$TRIS_BATCHDIR\WorkdayFLMAInterface\WorkdayFLMAInterface.exe </t>
  </si>
  <si>
    <t xml:space="preserve">  </t>
  </si>
  <si>
    <t xml:space="preserve">TRIS_RH_Daily_everyday_1900_workday_FMLA_Interface   FAILED.    Get Workday FMLA data to maintain the TTR_EMP_FMLA table.  Look in \C\\TRISBatch\\Logs\ on server </t>
  </si>
  <si>
    <t>TR33108
TR008-Update of OT banks with the temporary OT banks</t>
  </si>
  <si>
    <t xml:space="preserve">Runs TRIS Daily Processes Monday through Saturday </t>
  </si>
  <si>
    <t>TRISBATCH@ameren</t>
  </si>
  <si>
    <t>$$TRIS_BATCHDIR\DepartmentMaintenance\DepartmentMaintenance.exe</t>
  </si>
  <si>
    <t xml:space="preserve">This runs the TRIS portion of the Executive payroll </t>
  </si>
  <si>
    <t>C:\TRISBatch\WorkdayFLMAInterface\WorkdayFLMAInterface.exe</t>
  </si>
  <si>
    <t xml:space="preserve"> Build File for DB2 Load of VJOB_TR #RH#DV-HR-TR# CHG0000000xxxxx </t>
  </si>
  <si>
    <t xml:space="preserve">TRIS_RH_Executive_Final </t>
  </si>
  <si>
    <t xml:space="preserve">TRIS_RH_Executive_Final_010_BuildPayrollFiles_vJOB_TR   FAILED </t>
  </si>
  <si>
    <t xml:space="preserve">TRIS_RH_Executive_Final_020_BuildPayrollFiles_vDEPT_TBL_TR  FAILED </t>
  </si>
  <si>
    <t xml:space="preserve">TRIS_RH_Executive_Final_030_BuildPayrollFiles_vJOBCODE_TR  FAILED </t>
  </si>
  <si>
    <t xml:space="preserve">TRIS_RH_Executive_Final_040_BuildPayrollFiles_vSAL_STEP_TR FAILED </t>
  </si>
  <si>
    <t xml:space="preserve">TRIS_RH_Executive_Final_050_BuildPayrollFiles_FTP_vJOB_TR FAILED </t>
  </si>
  <si>
    <t>s(TRIS_RH_Executive_Final_010_BuildPayrollFiles_vJOB_TR)</t>
  </si>
  <si>
    <t xml:space="preserve">TRIS_RH_Executive_Final_060_BuildPayrollFiles_FTP_vDEPT_TR  FAILED </t>
  </si>
  <si>
    <t xml:space="preserve">s(TRIS_RH_Executive_Final_020_BuildPayrollFiles_vDEPT_TBL_TR)  </t>
  </si>
  <si>
    <t xml:space="preserve">TRIS_RH_Executive_Final_070_BuildPayrollFiles_FTP_vJOBCODE FAILED </t>
  </si>
  <si>
    <t>s(TRIS_RH_Executive_Final_030_BuildPayrollFiles_vJOBCODE_TR )</t>
  </si>
  <si>
    <t xml:space="preserve">TRIS_RH_Executive_Final_080_BuildPayrollFiles_FTP_vSAL  FAILED </t>
  </si>
  <si>
    <t xml:space="preserve">s(TRIS_RH_Executive_Final_040_BuildPayrollFiles_vSAL_STEP_TR)  </t>
  </si>
  <si>
    <t xml:space="preserve"> Moves the Files that were sent in jobs TRIS_RH_Executive_Final_050, TRIS_RH_Executive_Final_060, TRIS_RH_Executive_Final_070,  &amp; TRIS_RH_Executive_Final_080 from Mainframe FTP directory to  Mainframe datasets. It then loads the data into DB2 Tables    #RH#DV-HR-TR# CHG0000000xxxxx </t>
  </si>
  <si>
    <t>TRIS_RH_Executive_Final_200_MF_AR13895  FAILED.  Moves the Files that were sent in jobs TRIS_RH_Executive_Final_050, TRIS_RH_Executive_Final_060, TRIS_RH_Executive_Final_070,  &amp; TRIS_RH_Executive_Final_080 from Mainframe FTP directory to  Mainframe datase</t>
  </si>
  <si>
    <t xml:space="preserve">s(TRIS_RH_Executive_Final_050_BuildPayrollFiles_FTP_vJOB_TR) </t>
  </si>
  <si>
    <t xml:space="preserve">TRIS_RH_Executive_Final_300_Build_HR_History_View FAILED.   Fills tables for view VJOB_TR_EFF which allows the HR History records to have a start and end date versus just an effective date. Look in \C\\TRISBatch\\Logs\ on server </t>
  </si>
  <si>
    <t xml:space="preserve">s(TRIS_RH_Executive_Final_060_BuildPayrollFiles_FTP_vDEPT_TR)     </t>
  </si>
  <si>
    <t>/api/core/notification/v1/CopToUop/update</t>
  </si>
  <si>
    <t xml:space="preserve"> Changes unapproved COP time to UOP    #RH#DV-HR-TR# CHG0000000xxxxx </t>
  </si>
  <si>
    <t xml:space="preserve">$$TRIS_BATCHDIR\COPtoUOP\COPtoUOP.exe </t>
  </si>
  <si>
    <t xml:space="preserve">TRIS_RH_Executive_Final_310_COPtoUOP  FAILED </t>
  </si>
  <si>
    <t xml:space="preserve">s(TRIS_RH_Executive_Final_070_BuildPayrollFiles_FTP_vJOBCODE)    </t>
  </si>
  <si>
    <t xml:space="preserve"> Executive Final Payroll Processing that produces Payroll file that is used in TRIS_RH_Executive_Final_550_Send_ToPayroll to build a JSON request to send to Workday    #RH#DV-HR-TR# CHG0000000xxxxx </t>
  </si>
  <si>
    <t xml:space="preserve">TR33201N </t>
  </si>
  <si>
    <t>TRIS_RH_Executive_Final_410_MF_TR33201  FAILED.  Executive Final Payroll Processing that produces Payroll file that is used in TRIS_RH_Executive_Final_550_Send_ToPayroll to build a JSON request to send to Workday</t>
  </si>
  <si>
    <t xml:space="preserve">s(TRIS_RH_Executive_Final_080_BuildPayrollFiles_FTP_vSAL)    </t>
  </si>
  <si>
    <t xml:space="preserve"> Sends the Executive Payroll file built in TRIS_RH_Executive_Final_410_MF_TR33201 via FTP to the Autosys server    #RH#DV-HR-TR# CHG0000000xxxxx </t>
  </si>
  <si>
    <t xml:space="preserve">AR13587 </t>
  </si>
  <si>
    <t>TRIS_RH_Executive_Final_420_MF_AR13587  FAILED.  Sends the Executive Payroll file built in TRIS_RH_Executive_Final_410_MF_TR33201 via FTP to the Autosys server</t>
  </si>
  <si>
    <t>s(TRIS_RH_Executive_Final_200_MF_AR13895)</t>
  </si>
  <si>
    <t xml:space="preserve"> %FTPDir2%\Exec\copy_file.bat %FTPDir%\tr_payroll_exec.txt \\corp.dir.ameren.com\dfs\Orgdrv\TRIS\MKS\tr_payroll_exec.txt </t>
  </si>
  <si>
    <t xml:space="preserve">TRIS_RH_Executive_Final_530_Send_Copy_PayrollFile  JOB FAILED.   Copies Mainframe payroll file on the Autosys server to the RIS folder on the Corporate share drive.   Look in \C\\TRISBatch\\Logs\ on server </t>
  </si>
  <si>
    <t>s(TRIS_RH_Executive_Final_300_Build_HR_History_View)</t>
  </si>
  <si>
    <t>C:\TRISBatch\COPtoUOP\COPtoUOP.exe</t>
  </si>
  <si>
    <t xml:space="preserve"> Moves Mainframe Payroll file from the TRIS folder on the Corporate share drive to the TRIS Server (V_TRIS_BATCH)      #RH#DV-HR-TR# CHG0000000xxxxx </t>
  </si>
  <si>
    <t xml:space="preserve">TRIS_RH_Executive_Final_540_Send_Move_PayrollFile FAILED.   Moves Mainframe Payroll file from the TRIS folder on the Corporate share drive to the TRIS Server (V_TRIS_BATCH).  Look in \C\\TRISBatch\\Logs\ on server </t>
  </si>
  <si>
    <t>s(TRIS_RH_Executive_Final_310_COPtoUOP)</t>
  </si>
  <si>
    <t xml:space="preserve">TR33201-Executive TRIS final job
TR001-Extract actual time and adjustments
TR033-Unlock departments
TR039-Missing time report (33729)
TR051-Allowed time records
TR052-Split sick leave extract file
TR003-Allowed time (actual time) processing  (33708)
TR050-Create sick leave detail
TR021-Adjustment processing
TR103-Management exempt partial day
TR004-Payroll earnings proof (Report 33700)
TR005-Payroll deviations (Report 33703)
TR044-Assign Executive OT codes
TR060-Paysheet prep
TR077-Sick Leave Detail Report (33780)
TR029-Report 33701-Reported Time Adjustments (33701)
TR026-Split exception codes for allowed time
TR135-Allowed time detail table update
TI534-Create Variable accounting variation file
TI1009-Create GES report
TR128-Management sick leave balance report
TR037-Update final cycle number
</t>
  </si>
  <si>
    <t>https://rxvavgtcv7.execute-api.us-east-1.amazonaws.com/dev/tr-33201</t>
  </si>
  <si>
    <t>TR_RN_ExecutivePayroll_TR33201_Trigger_Box</t>
  </si>
  <si>
    <t xml:space="preserve"> Sends Payroll data to Workday   #RH#DV-HR-TR# CHG0000000xxxxx </t>
  </si>
  <si>
    <t xml:space="preserve">TRIS_RH_Executive_Final_550_Send_ToPayroll  FAILED.   Sends Payroll data to Workday.   Look in \C\\TRISBatch\\Logs\ on server </t>
  </si>
  <si>
    <t>s(TRIS_RH_Executive_Final_410_MF_TR33201)</t>
  </si>
  <si>
    <t xml:space="preserve">TR33005-Executive payroll
Sends executive payroll file to workday (FTP)
</t>
  </si>
  <si>
    <t xml:space="preserve">Executive Preliminary Job on Request   #RH#DV-HR-TR# CHG0000000xxxxx </t>
  </si>
  <si>
    <t xml:space="preserve">TR33112 </t>
  </si>
  <si>
    <t xml:space="preserve">TRIS_RH_Executive_Preliminary_OnRequest_MF_TR33112   FAILED.   Contract Preliminary Job on Request </t>
  </si>
  <si>
    <t>s(TRIS_RH_Executive_Final_420_MF_AR13587)</t>
  </si>
  <si>
    <t xml:space="preserve">	%FTPDir2%\Exec\copy_file.bat %FTPDir%\tr_payroll_exec.txt \\corp.dir.ameren.com\dfs\Orgdrv\TRIS\MKS\tr_payroll_exec.txt</t>
  </si>
  <si>
    <t xml:space="preserve">The PDCLOSE process runs on the 1st working day of the month </t>
  </si>
  <si>
    <t xml:space="preserve">run_calendar: AM_1stWkDyNoHol </t>
  </si>
  <si>
    <t>s(TRIS_RH_Executive_Final_530_Send_Copy_PayrollFile)</t>
  </si>
  <si>
    <t>/api/core/notification/v1/monthly-labor-hours/process</t>
  </si>
  <si>
    <t>Inserts fixed accounting allocations into METHDBA.TTR_OTTC_DEPT_FIXED_ALLOCATION &amp; METHDBA.TTR_OTTC_EMP_FIXED_ALLOCATION. Used for Monthly Labor hours report #RH#DV-HR-TR# CHG0000000xxxxx</t>
  </si>
  <si>
    <t>TRIS_RH_monthly_000_PDCLOSEBox</t>
  </si>
  <si>
    <t>$$TRIS_BATCHDIR\PayrollDistributionFixedAllocationsInterface\PayrollDistributionFixedAllocationsInterface.exe</t>
  </si>
  <si>
    <t>TRIS_RH_monthly_010_FixedAccountingAllocationsInterface failed</t>
  </si>
  <si>
    <t>s(TRIS_RH_Executive_Final_540_Send_Move_PayrollFile)</t>
  </si>
  <si>
    <t>/api/core/notification/v1/accrual</t>
  </si>
  <si>
    <t>Inserts summarized TRIS Accrual hours by department for the Calendar month into TTR_OTTC_ACCRUAL_INTF . A process, written by the Mule Soft integration team, will follow this job and will call the GET Accrual API . #RH#DV-HR-TR# CHG0000000xxxxx</t>
  </si>
  <si>
    <t>$$TRIS_BATCHDIR\PayrollAccrualMonthlyInterface\PayrollAccrualMonthlyInterface.exe</t>
  </si>
  <si>
    <t>TRIS_RH_monthly_020_PayrollAccruals   JOB FAILED.  Inserts summarized TRIS Accrual hours by department f for the Calendar month into  TTR_OTTC_ACCRUAL_INTF .  A process, written by MuleSoft will be dependent on this job</t>
  </si>
  <si>
    <t>/api/core/payroll/v1/PayrollDistributionMonthlyInterface/monthly-labor-accounting</t>
  </si>
  <si>
    <t>Inserts summarized TRIS Accrual hours by department for the Calendar month into METHDBA.TTR_OTTC_LABOR_ACCOUNTING_INTF . A process, written by the Mule Soft integration team, will follow this job and will call the GET LaborAccounting API . #RH#DV-HR-TR# CHG0000000xxxxx</t>
  </si>
  <si>
    <t>$$TRIS_BATCHDIR\PayrollDistributionMonthlyInterface\PayrollDistributionMonthlyInterface.exe</t>
  </si>
  <si>
    <t>TRIS_RH_monthly_030_PayrollDistributionInterface   JOB FAILED.</t>
  </si>
  <si>
    <t>On Demand</t>
  </si>
  <si>
    <t xml:space="preserve">TR33112-Executive TRIS preliminary job
TR033-Lock departments on the last prelim run before final
TR001-Extract actual time and adjustments
TR039-Missing time report (33729)
TR051-Allowed time records
TR052-Split sick leave extract file
TR003-Allowed time (actual time) processing  (33708)
TR050-Create sick leave detail
TR021-Adjustment Processing (33709)
TR103-Management exempt partial day
TR004-Payroll earnings proof (Report 33700)
TR005-Payroll deviations (Report 33703)
TR029-Report 33701-Reported Time Adjustments (33701)
TR048-part time/ temporary hours worked
TR128-Management sick leave balance report
</t>
  </si>
  <si>
    <t>https://rxvavgtcv7.execute-api.us-east-1.amazonaws.com/dev/tr-33112</t>
  </si>
  <si>
    <t>TR_RN_OnRequest_TR33112_Trigger_Box</t>
  </si>
  <si>
    <t>/api/core/notification/v1/MaximoAccountingInterface/create</t>
  </si>
  <si>
    <t>Inserts summarized TRIS time by department for each MAXIMO job number job task combination charged in TRIS for the Calendar month into TTR_ASPIRE_MAXIMO_ACCOUNTING_INTF . A process, written by the Mule Soft integration team, will follow this job and will call the GET Accounting API . #RH#DV-HR-TR# CHG0000000xxxxx</t>
  </si>
  <si>
    <t>$$TRIS_BATCHDIR\MaximoAccountingInterface\MaximoAccountingInterface.exe</t>
  </si>
  <si>
    <t>TRIS_RH_monthly_100_MaximoAccountingInterface  JOB FAILED.  Inserts summarized TRIS time by department for each MAXIMO job number job task combination charged in TRIS for the Calendar month into  TTR_ASPIRE_MAXIMO_ACCOUNTING_INTF .  A process, written by</t>
  </si>
  <si>
    <t xml:space="preserve"> Loads the Mainframe Labor Hours file into the TTR_LABOR_HOURS table for OBIEE which will distribute the Monthly Labor Hours Reports and collects signatures. TRIS_RH_monthly_110_Copy_LaborHoursFile copied Monthly Labor Hours file to TRIS folder on the Corporate share drive. TRIS_RH_monthly_120_Move_LaborHoursFile moved the Mainframe Labor Hours file from TRIS folder on the Corporate share drive to TRIS Server.    #RN#DV-HR-TR# CHG0000000xxxxx </t>
  </si>
  <si>
    <t xml:space="preserve">TRIS_RH_monthly_000_PDCLOSEBox </t>
  </si>
  <si>
    <t xml:space="preserve">$$TRIS_BATCHDIR\MonthlyLaborHoursInterface\MonthlyLaborHoursInterface.exe </t>
  </si>
  <si>
    <t xml:space="preserve">TRIS_RH_monthly_130_LaborHours_Interface  FAILED.  Loads the Mainframe Labor Hours file into the TTR_LABOR_HOURS table for OBIEE which will distribute the Monthly Labor Hours Reports and collects signatures. TRIS_RH_monthly_110_Copy_LaborHoursFile copied </t>
  </si>
  <si>
    <t xml:space="preserve"> Build File for DB2 Load of TAR_COMN_DEPT_TBL #RH#DV-HR-TR# CHG0000000xxxxx </t>
  </si>
  <si>
    <t xml:space="preserve">TRIS_RH_sundayBox </t>
  </si>
  <si>
    <t xml:space="preserve">TRIS_RH_sunday_010_BuildCommon_Department FAILED </t>
  </si>
  <si>
    <t xml:space="preserve">TRIS_RH_sunday_020_BuildCommon_Employee FAILED </t>
  </si>
  <si>
    <t>AM_1stWkDyNoHol</t>
  </si>
  <si>
    <t xml:space="preserve"> FTP of file to load into TAR_COMN_DEPT_TBL load #RH#DV-HR-TR# CHG0000000xxxxx </t>
  </si>
  <si>
    <t xml:space="preserve">TRIS_RH_sunday_030_BuildCommon_FTP_Department    FAILED </t>
  </si>
  <si>
    <t xml:space="preserve">	$$TRIS_BATCHDIR\PayrollDistributionFixedAllocationsInterface\PayrollDistributionFixedAllocationsInterface.exe</t>
  </si>
  <si>
    <t xml:space="preserve"> FTP a file to load into TAR_COMN_EMPL_TBL #RH#DV-HR-TR# CHG0000000xxxxx </t>
  </si>
  <si>
    <t xml:space="preserve">TRIS_RH_sunday_040_BuildCommon_FTP_Employee  FAILED </t>
  </si>
  <si>
    <t>s(TRIS_RH_monthly_010_FixedAccountingAllocationsInterface)</t>
  </si>
  <si>
    <t xml:space="preserve">	$$TRIS_BATCHDIR\PayrollAccrualMonthlyInterface\PayrollAccrualMonthlyInterface.exe</t>
  </si>
  <si>
    <t xml:space="preserve"> FTP a File for DB2 Load of THRDB_EMPLOYEE_TBL #RH#DV-HR-TR# CHG0000000xxxxx </t>
  </si>
  <si>
    <t xml:space="preserve">TRIS_RH_sunday_050_BuildCommon_FTP_THRDBEmployee   FAILED </t>
  </si>
  <si>
    <t>s(TRIS_RH_monthly_020_PayrollAccruals)</t>
  </si>
  <si>
    <t xml:space="preserve">	$$TRIS_BATCHDIR\PayrollDistributionMonthlyInterface\PayrollDistributionMonthlyInterface.exe</t>
  </si>
  <si>
    <t xml:space="preserve"> Builds File for maintaining the TTR_ASSOCIATIONS table in mainframe job UE.STARTPDS(TR33107N) #RH#DV-HR-TR# CHG0000000xxxxx </t>
  </si>
  <si>
    <t xml:space="preserve">TRIS_RH_sunday_070_BuildCommon_Associations FAILED </t>
  </si>
  <si>
    <t>s(TRIS_RH_monthly_030_PayrollDistributionInterface)</t>
  </si>
  <si>
    <t xml:space="preserve">	C:\TRISBatch\MonthlyLaborHoursInterface\MonthlyLaborHoursInterface.exe</t>
  </si>
  <si>
    <t xml:space="preserve"> FTP a file to process in UE.STARTPDS(TR33107N)  #RH#DV-HR-TR# CHG0000000xxxxx </t>
  </si>
  <si>
    <t xml:space="preserve">TRIS_RH_sunday_080_BuildCommon_FTP_Associations  FAILED </t>
  </si>
  <si>
    <t xml:space="preserve">ITP.DATA.DATA.DPTTABLE </t>
  </si>
  <si>
    <t xml:space="preserve">TRIS_RH_sunday_100_BuildPayrollFiles_vJOB_TR   FAILED </t>
  </si>
  <si>
    <t xml:space="preserve">TRIS_RH_sunday_110_BuildPayrollFiles_vDEPT_TBL_TR   FAILED </t>
  </si>
  <si>
    <t xml:space="preserve">TRIS_RH_sunday_120_BuildPayrollFiles_vJOBCODE_TBL_TR    FAILED </t>
  </si>
  <si>
    <t>su</t>
  </si>
  <si>
    <t xml:space="preserve">TRIS_RH_sunday_130_BuildPayrollFiles_vSAL_STEP_TBL_TR    FAILED </t>
  </si>
  <si>
    <t xml:space="preserve">TRIS_RH_sunday_140_BuildPayrollFiles_FTP_vJOB_TR FAILED </t>
  </si>
  <si>
    <t xml:space="preserve">s(TRIS_RH_sunday_010_BuildCommon_Department )   </t>
  </si>
  <si>
    <t xml:space="preserve">TRIS_RH_sunday_150_BuildPayrollFiles_FTP_vDEPT_TBL_TR  FAILED </t>
  </si>
  <si>
    <t>s(TRIS_RH_sunday_020_BuildCommon_Employee)</t>
  </si>
  <si>
    <t xml:space="preserve">TRIS_RH_sunday_160_BuildPayrollFiles_FTP_vJOBCODE_TBL_TR FAILED </t>
  </si>
  <si>
    <t>s(TRIS_RH_sunday_030_BuildCommon_FTP_Department)</t>
  </si>
  <si>
    <t xml:space="preserve">TRIS_RH_sunday_170_BuildPayrollFiles_FTP_vSAL_STEP_TBL_TR  FAILED </t>
  </si>
  <si>
    <t>s(TRIS_RH_sunday_040_BuildCommon_FTP_Employee)</t>
  </si>
  <si>
    <t xml:space="preserve"> Moves the Associations File that were sent in job TRIS_RH_sunday_080_BuildCommon_FTP_Associations from Mainframe FTP directory to a Mainframe dataset.    #RH#DV-HR-TR# CHG0000000xxxxx </t>
  </si>
  <si>
    <t xml:space="preserve">TRIS_RH_sunday_300_MF_AR13872 FAILED.  Moves the Associations File that were sent in job TRIS_RH_sunday_080_BuildCommon_FTP_Associations from Mainframe FTP directory to a Mainframe dataset </t>
  </si>
  <si>
    <t xml:space="preserve">s(TRIS_RH_sunday_050_BuildCommon_FTP_THRDBEmployee) </t>
  </si>
  <si>
    <t xml:space="preserve"> Moves the Files that were sent in jobs TRIS_RH_sunday_030, TRIS_RH_sunday_040, &amp; TRIS_RH_sunday_050 from Mainframe FTP directory to Mainframe datasets    #RH#DV-HR-TR# CHG0000000xxxxx </t>
  </si>
  <si>
    <t xml:space="preserve">TRIS_RH_sunday_310_MF_AR13999  FAILED.  Moves the Files that were sent in jobs TRIS_RH_sunday_030, TRIS_RH_sunday_040, &amp; TRIS_RH_sunday_050 from Mainframe FTP directory to Mainframe datasets </t>
  </si>
  <si>
    <t xml:space="preserve">s(TRIS_RH_sunday_070_BuildCommon_Associations) </t>
  </si>
  <si>
    <t xml:space="preserve"> Moves the Files that were sent in jobs TRIS_RH_sunday_140, TRIS_RH_sunday_150, TRIS_RH_sunday_160,  &amp; TRIS_RH_sunday_170 from Mainframe FTP directory to  Mainframe datasets. It then loads the data into DB2 Tables.    #RH#DV-HR-TR# CHG0000000xxxxx </t>
  </si>
  <si>
    <t xml:space="preserve">TRIS_RH_sunday_330_MF_AR13895  FAILED.  Moves the Files that were sent in jobs TRIS_RH_sunday_140, TRIS_RH_sunday_150, TRIS_RH_sunday_160,  &amp; TRIS_RH_sunday_170 from Mainframe FTP directory to  Mainframe datasets. It then loads the data into DB2 Tables. </t>
  </si>
  <si>
    <t>s(TRIS_RH_sunday_080_BuildCommon_FTP_Associations)</t>
  </si>
  <si>
    <t xml:space="preserve"> Loads the Common Employee and Common Department tables sent from jobs TRIS_RH_sunday_030, TRIS_RH_daily_040 and moved in job TRIS_RH_sunday_310_MF_AR13999    #RH#DV-HR-TR# CHG0000000xxxxx </t>
  </si>
  <si>
    <t xml:space="preserve">TRIS_RH_sunday_330_MF_DB12287N  FAILED.   Loads the Common Employee and Common Department tables sent from jobs TRIS_RH_sunday_030, TRIS_RH_daily_040 and moved in job TRIS_RH_sunday_310_MF_AR13999 </t>
  </si>
  <si>
    <t>s(TRIS_RH_sunday_100_BuildPayrollFiles_vJOB_TR)</t>
  </si>
  <si>
    <t xml:space="preserve"> Loads the THRDB Employee table sent from job TRIS_RH_sunday_050 and moved in job TRIS_RH_sunday_310_MF_AR13999    #RH#DV-HR-TR# CHG0000000xxxxx </t>
  </si>
  <si>
    <t xml:space="preserve">TRIS_RH_sunday_340_MF_DB12005N  FAILED.    Loads the THRDB Employee table sent from job TRIS_RH_sunday_050 and moved in job TRIS_RH_sunday_310_MF_AR13999 </t>
  </si>
  <si>
    <t>s(TRIS_RH_sunday_110_BuildPayrollFiles_vDEPT_TBL_TR)</t>
  </si>
  <si>
    <t xml:space="preserve"> Fills tables for view VJOB_TR_EFF which allows the HR History records to have a start and end date versus just an effective date.   #RH#DV-HR-TR# CHG0000000xxxxx </t>
  </si>
  <si>
    <t xml:space="preserve">TRIS_RH_sunday_380_Build_HR_History_View  FAILED.  Fills tables for view VJOB_TR_EFF which allows the HR History records to have a start and end date versus just an effective date.   Look in \C\\TRISBatch\\Logs\ on server </t>
  </si>
  <si>
    <t>s(TRIS_RH_sunday_120_BuildPayrollFiles_vJOBCODE_TBL_TR)</t>
  </si>
  <si>
    <t xml:space="preserve">TRIS_RH_sunday_410_MF_TR33106   FAILED.  Maintains the TTR_JOBS table (TR014) </t>
  </si>
  <si>
    <t>s(TRIS_RH_sunday_130_BuildPayrollFiles_vSAL_STEP_TBL_TR)</t>
  </si>
  <si>
    <t xml:space="preserve">TRIS_RH_sunday_420_MF_TR33107   FAILED.  Maintains the TTR_ASSOCIATIONS table (TR015) </t>
  </si>
  <si>
    <t>s(TRIS_RH_sunday_140_BuildPayrollFiles_FTP_vJOB_TR)</t>
  </si>
  <si>
    <t xml:space="preserve">TRIS_RH_sunday_430_MF_TR33102  FAILED.  HR/TRIS interface employee update (TR009 &amp; TR129) </t>
  </si>
  <si>
    <t>s(TRIS_RH_sunday_150_BuildPayrollFiles_FTP_vDEPT_TBL_TR)</t>
  </si>
  <si>
    <t xml:space="preserve">
/api/core/payroll/v1/VacAllotment/Main</t>
  </si>
  <si>
    <t>s(TRIS_RH_sunday_160_BuildPayrollFiles_FTP_vJOBCODE_TBL_TR)</t>
  </si>
  <si>
    <t>s(TRIS_RH_sunday_170_BuildPayrollFiles_FTP_vSAL_STEP_TBL_TR)</t>
  </si>
  <si>
    <t xml:space="preserve">TRIS_RH_sunday_440_MF_TR33136   FAILED.   Seniority accrual -- Adds one day of seniority (TI0510) </t>
  </si>
  <si>
    <t>s(TRIS_RH_sunday_300_MF_AR13872)</t>
  </si>
  <si>
    <t xml:space="preserve"> Auto Builds scheduled exception (Holiday, Vacation) time for employees in variable departments and all time for employees in fixed &amp; exception based departments.    #RH#DV-HR-TR# CHG0000000xxxxx </t>
  </si>
  <si>
    <t xml:space="preserve">TRIS_RH_sunday_450_MF_TR33115   FAILED.   Auto Builds scheduled exception (Holiday, Vacation) time for employees in variable departments and all time for employees in fixed &amp; exception based departments. </t>
  </si>
  <si>
    <t>s(TRIS_RH_sunday_310_MF_AR13999)</t>
  </si>
  <si>
    <t xml:space="preserve">Runs TRIS Sunday Processes which is the same as the daily except for the start time </t>
  </si>
  <si>
    <t>s(TRIS_RH_sunday_320_MF_AR13895)</t>
  </si>
  <si>
    <t xml:space="preserve">Vacation carryover update and report. Runs the 20th of Jan at 05:30 pm    #RH#DV-HR-TR# CHG0000000xxxxx </t>
  </si>
  <si>
    <t xml:space="preserve">TR33445 </t>
  </si>
  <si>
    <t xml:space="preserve">run_calendar: AM_20DOMJan </t>
  </si>
  <si>
    <t xml:space="preserve">TRIS_RH_yearly_Jan20_1730_MF_TR33445  FAILED.   Vacation carryover update and report </t>
  </si>
  <si>
    <t>s(TRIS_RH_sunday_330_MF_DB12287N)</t>
  </si>
  <si>
    <t xml:space="preserve">Sick Leave and Vacation reports.  Runs the 20th of Jan at 06:00 pm    #RH#DV-HR-TR# CHG0000000xxxxx </t>
  </si>
  <si>
    <t xml:space="preserve">TR33446 </t>
  </si>
  <si>
    <t xml:space="preserve">TRIS_RH_yearly_Jan20_1800_MF_TR33446  FAILED.  Sick Leave and Vacation reports </t>
  </si>
  <si>
    <t>s(TRIS_RH_sunday_340_MF_DB12005N)</t>
  </si>
  <si>
    <t>/api/core/payroll/v1/VacationAccrualReport/Main</t>
  </si>
  <si>
    <t>Vacation carryover update and report. Runs the 20th of Jan at 05:30 pm #RH#DV-HR-TR# CHG0000000xxxxx</t>
  </si>
  <si>
    <t xml:space="preserve">V_TRIS_BATCH  </t>
  </si>
  <si>
    <t>C:\TRISBatch\VacationAccrualReport\VacationAccrualReport.exe</t>
  </si>
  <si>
    <t>TRIS_RH_yearly_Jan20_1830_VacationAccrualReport  FAILED.   Vacation carryover report sends email to Controller</t>
  </si>
  <si>
    <t>s(TRIS_RH_sunday_380_Build_HR_History_View)</t>
  </si>
  <si>
    <t xml:space="preserve">CIPS local 702 sick leave reports.  Runs the 20th of Jan at 08:00 pm     #RH#DV-HR-TR# CHG0000000xxxxx </t>
  </si>
  <si>
    <t xml:space="preserve">TR33406 </t>
  </si>
  <si>
    <t xml:space="preserve">TRIS_RH_yearly_Jan20_2000_MF_TR33406  FAILED.  CIPS local 702 sick leave reports. </t>
  </si>
  <si>
    <t>s(TRIS_RH_sunday_410_MF_TR33106)</t>
  </si>
  <si>
    <t xml:space="preserve">Run this job to show environment variable values for this process on TRIS batch server. </t>
  </si>
  <si>
    <t xml:space="preserve"> set </t>
  </si>
  <si>
    <t xml:space="preserve">TRIS_RN_BatchVerifyEnvVars FAILED. </t>
  </si>
  <si>
    <t>s(TRIS_RH_sunday_420_MF_TR33107)</t>
  </si>
  <si>
    <t xml:space="preserve">Run this job to show environment variable values for this process on shared FTP server. </t>
  </si>
  <si>
    <t xml:space="preserve">V_TRIS_MFFTP </t>
  </si>
  <si>
    <t xml:space="preserve">TRIS_RN_FTPVerifyEnvVars FAILED. </t>
  </si>
  <si>
    <t xml:space="preserve">&gt;&gt;$$TRIS_FTPDIR2\Logs\%AUTO_JOB_NAME%_stdout.txt </t>
  </si>
  <si>
    <t xml:space="preserve"> &gt;&gt;$$TRIS_FTPDIR2\Logs\%AUTO_JOB_NAME%_stderr.txt </t>
  </si>
  <si>
    <t>s(TRIS_RH_sunday_430_MF_TR33102)</t>
  </si>
  <si>
    <t xml:space="preserve">Seniority reports for Local 148 (OA) and 1455 (JA,JB)   Runs the first day of the month at 05:00 pm   #RN#DV-HR-TR CHG00000000xxxx </t>
  </si>
  <si>
    <t xml:space="preserve">TR33311 </t>
  </si>
  <si>
    <t xml:space="preserve">run_calendar: AM_FOM </t>
  </si>
  <si>
    <t>Seniority reports for Local 148 (OA) and 1455 (JA,JB)   Runs the first day of the month at 05:00 pm</t>
  </si>
  <si>
    <t>s(TRIS_RH_sunday_435_Vacation_Allotment)</t>
  </si>
  <si>
    <t xml:space="preserve">Seniority list for union local 1439 (IA) , 309 (PA), 609 (VA).  Runs the 2nd day of the month (not Jan, Apr, Jul and Oct job TR33402 instead)  #RN#DV-HR-TR CHG00000000xxxx </t>
  </si>
  <si>
    <t>TR33312 (NOT USED)</t>
  </si>
  <si>
    <t xml:space="preserve">run_calendar: AM_2DOMFebMarMayJunAugSepNovDec </t>
  </si>
  <si>
    <t>TRIS_RN_monthly_day_02_MF_TR33312   FAILED.  Seniority list for union local 1439 (IA) , 309 (PA), 609 (VA).  Runs the 2nd day of the month (not Jan, Apr, Jul and Oct job TR33402 instead)</t>
  </si>
  <si>
    <t>s(TRIS_RH_sunday_437_Maintain_Holidays)</t>
  </si>
  <si>
    <t xml:space="preserve">Seniority list for union local 1439 (IA) , 309 (PA), 609 (VA).    Runs the 2nd day of the month in Jan, Apr, Jul and Oct   #RN#DV-HR-TR CHG00000000xxxx </t>
  </si>
  <si>
    <t xml:space="preserve">TR33402 </t>
  </si>
  <si>
    <t xml:space="preserve">run_calendar: AM_2DOMJanAprJulOct </t>
  </si>
  <si>
    <t>TRIS_RN_monthly_day_02_MF_TR33402  FAILED.  Seniority list for union local 1439 (IA) , 309 (PA), 609 (VA).    Runs the 2nd day of the month in Jan, Apr, Jul and Oct</t>
  </si>
  <si>
    <t>s(TRIS_RH_sunday_440_MF_TR33136)</t>
  </si>
  <si>
    <t xml:space="preserve">Absence exception reports -- Runs the 20th day of the month at 05:00 pm #RN#DV-HR-TR CHG00000000xxxx </t>
  </si>
  <si>
    <t xml:space="preserve">TR33137 </t>
  </si>
  <si>
    <t xml:space="preserve">run_calendar: AM_20DOM </t>
  </si>
  <si>
    <t>TRIS_RN_monthly_day_20_MF_TR33137  FAILED.  Absence exception reports.  Runs the 20th day of the month at 05:00 pm</t>
  </si>
  <si>
    <t>AM_20DOMJan</t>
  </si>
  <si>
    <t xml:space="preserve">TR33445
TR114-Vacation carryover for january-december
</t>
  </si>
  <si>
    <t xml:space="preserve">Builds difference Variable accounting file by getting current information and comparing it to the data built in TRIS_RH_monthly_020_MF_TR33302 for the same month.  Corporate Accounting calls this the make up file.  Runs the 20th day of the month at 05:00 pm #RN#DV-HR-TR CHG00000000xxxx </t>
  </si>
  <si>
    <t>TR33306 (NOT USED)</t>
  </si>
  <si>
    <t>TRIS_RN_monthly_day_20_MF_TR33306  FAILED.   Builds difference Variable accounting file by getting current information and comparing it to the data built in TRIS_RH_monthly_020_MF_TR33302 for the same month</t>
  </si>
  <si>
    <t>AM_20DOMJan
s(TRIS_RH_yearly_Jan20_1730_MF_TR33445)</t>
  </si>
  <si>
    <t xml:space="preserve">TR33446
TR110-Annual Vacation Entitlement Summary
</t>
  </si>
  <si>
    <t>https://rxvavgtcv7.execute-api.us-east-1.amazonaws.com/dev/tr-33446</t>
  </si>
  <si>
    <t>/api/core/hrintegration/v1/ConsoleAutoImport/import-timesheet-ids</t>
  </si>
  <si>
    <t xml:space="preserve">MTC Auto Import AM #RH#DV-HR-TR# CHG0000000xxxxx </t>
  </si>
  <si>
    <t xml:space="preserve">$$TRIS_BATCHDIR\mTCAutoImport\ConsoleAutoImport.exe </t>
  </si>
  <si>
    <t xml:space="preserve">07:20-19:00 </t>
  </si>
  <si>
    <t xml:space="preserve">exclude_calendar: AM_holidays </t>
  </si>
  <si>
    <t xml:space="preserve">TRIS_RH_MTC_AUTO_IMPORT FAILED. </t>
  </si>
  <si>
    <t xml:space="preserve">00,20,40 </t>
  </si>
  <si>
    <t xml:space="preserve">	C:\TRISBatch\VacationAccrualReport\VacationAccrualReport.exe</t>
  </si>
  <si>
    <t xml:space="preserve">MTC Auto Import Early AM  #RN#DV-HR-TR# CHG0000000xxxxx </t>
  </si>
  <si>
    <t xml:space="preserve">03:00-07:00 </t>
  </si>
  <si>
    <t xml:space="preserve">TRIS_RN_MTC_AUTO_IMPORT_EARLY_AM FAILED. </t>
  </si>
  <si>
    <t xml:space="preserve">00,05,10,15,20,25,30,35,40,45,50,55 </t>
  </si>
  <si>
    <t>AM_20DOMJan
s(TRIS_RH_yearly_Jan20_1800_MF_TR33446)</t>
  </si>
  <si>
    <t xml:space="preserve">TR33406
TR043-Local 702 sick leave reports
</t>
  </si>
  <si>
    <t xml:space="preserve">MTC Auto Import SAT SUN  #RN#DV-HR-TR# CHG0000000xxxxx </t>
  </si>
  <si>
    <t xml:space="preserve">12:00-19:00 </t>
  </si>
  <si>
    <t xml:space="preserve">TRIS_RN_MTC_AUTO_IMPORT_SAT_SUN FAILED. </t>
  </si>
  <si>
    <t>/api/core/notification/v1/NrcfmPurge/execute</t>
  </si>
  <si>
    <t xml:space="preserve">TRIS PURGE NRCFM #RN#DV-HR-TR CHG00000000xxxx </t>
  </si>
  <si>
    <t xml:space="preserve">$$TRIS_BATCHDIR\PurgeNRCFM\PurgeNRCFM.exe </t>
  </si>
  <si>
    <t xml:space="preserve">TRIS_RN_PURGE_NRCFM FAILED </t>
  </si>
  <si>
    <t xml:space="preserve">	Run this job to show environment variable values for this process on TRIS batch server.</t>
  </si>
  <si>
    <t xml:space="preserve">TRIS BI extract #RN#DV-HR-TR# CHG00000000xxxx </t>
  </si>
  <si>
    <t xml:space="preserve">$$TRIS_BATCHDIR\PayrollDistributionReconcile\PayrollDistributionReconcile.exe </t>
  </si>
  <si>
    <t xml:space="preserve">TRIS_RN_TRISPDReconcile FAILED. </t>
  </si>
  <si>
    <t>/api/core/notification/v1/ActualTimeAuditPurge/execute</t>
  </si>
  <si>
    <t xml:space="preserve">TRIS actual time audit purge #RN#DV-HR-TR# CHG00000000xxxx </t>
  </si>
  <si>
    <t xml:space="preserve">$$TRIS_BATCHDIR\PurgeActualTimeAudit\PurgeActTmAudit.exe </t>
  </si>
  <si>
    <t xml:space="preserve">TRIS_RN_TRISPurge_ATAudit FAILED. </t>
  </si>
  <si>
    <t>Run this job to show environment variable values for this process on shared FTP server.</t>
  </si>
  <si>
    <t xml:space="preserve">Ameren Missouri Stores Weekly Overtime Report (TR053)    #RN#DV-HR-TR CHG00000000xxxx </t>
  </si>
  <si>
    <t xml:space="preserve">TR33211 </t>
  </si>
  <si>
    <t xml:space="preserve">TRIS_RN_tuesday_100_MF_TR33211 FAILED.   Ameren Missouri Stores Weekly Overtime Report (TR053) </t>
  </si>
  <si>
    <t xml:space="preserve">Vacation allotment for contract employees report  -- Usually requested near the 20th of October    #RN#DV-HR-TR# CHG0000000xxxxx </t>
  </si>
  <si>
    <t xml:space="preserve">TR33440 </t>
  </si>
  <si>
    <t>TRIS_RN_yearly_OnRequest_MF_TR33440  FAILED.  Vacation allotment for contract employees report.   Usually requested near the 20th of October</t>
  </si>
  <si>
    <t>TR33003-file maintenance and database load</t>
  </si>
  <si>
    <t xml:space="preserve">Build holidays for the next year   -- Usually requested near the 20th of October    #RN#DV-HR-TR# CHG0000000xxxxx </t>
  </si>
  <si>
    <t xml:space="preserve">TR33442 </t>
  </si>
  <si>
    <t>TRIS_RN_yearly_OnRequest_MF_TR33442  FAILED.   Build holidays for the next year.  Usually requested near the 20th of October</t>
  </si>
  <si>
    <t xml:space="preserve">Vacation allotment for management employees report   -- Usually requested near the 20th of October    #RN#DV-HR-TR# CHG0000000xxxxx </t>
  </si>
  <si>
    <t xml:space="preserve">TR33451 </t>
  </si>
  <si>
    <t>TRIS_RN_yearly_OnRequest_MF_TR33451  FAILED.  Vacation allotment for management employees report.  Usually requested near the 20th of October</t>
  </si>
  <si>
    <t>AM_FOM</t>
  </si>
  <si>
    <t>TR33311-Seniority reports
TR090-Employee number seniority list 
TR091-Seniority list forunion 148, exlcude IR area #18
TR092-Seniority list for union 148, IR area #18 only 
TR093-Seniority list for union 148, IR area #18.  Plant seniority for vacation seniority
TR094-Seniority list for union 1455
TR083-Local union seniority report</t>
  </si>
  <si>
    <t>https://rxvavgtcv7.execute-api.us-east-1.amazonaws.com/dev/tr-33311</t>
  </si>
  <si>
    <t xml:space="preserve">E&amp;C project hours reports.  Runs the first work day of the month Jan, Apr, Jul and Oct at 04:00    #RN#DV-HR-TR# CHG0000000xxxxx </t>
  </si>
  <si>
    <t xml:space="preserve">TR33400 </t>
  </si>
  <si>
    <t xml:space="preserve">run_calendar: AM_1WDOM_JanAprJulOct </t>
  </si>
  <si>
    <t xml:space="preserve">TRIS_RN_yearly_QuarterlyRpts_MF_TR33400   FAILED.  E&amp;C project hours reports. </t>
  </si>
  <si>
    <t xml:space="preserve">	AM_2DOMFebMarMayJunAugSepNovDec</t>
  </si>
  <si>
    <t xml:space="preserve">TR33312-Seniority reports
TR095-Seniority List for union 1439
TR096-Seniority list for union 309
TR097-Seniority list for union 609
</t>
  </si>
  <si>
    <t>https://rxvavgtcv7.execute-api.us-east-1.amazonaws.com/dev/tr-33402</t>
  </si>
  <si>
    <t xml:space="preserve">Sick Leave Reports Quarterly.  Runs the 20th of the month Jan, Apr, Jul and Oct at 05:00 pm    #RN#DV-HR-TR# CHG0000000xxxxx </t>
  </si>
  <si>
    <t xml:space="preserve">TR33401 </t>
  </si>
  <si>
    <t xml:space="preserve">run_calendar: AM_20DOMJanAprJulOct </t>
  </si>
  <si>
    <t xml:space="preserve">TRIS_RN_yearly_QuarterlyRpts_MF_TR33401  FAILED.   Sick Leave Reports Quarterly </t>
  </si>
  <si>
    <t xml:space="preserve">	AM_2DOM</t>
  </si>
  <si>
    <t>TR33402-Seniority Reports
TR095-Seniority List for union 1439
TR096-Seniority list for union 309
TR097-Seniority list for union 609</t>
  </si>
  <si>
    <t xml:space="preserve">GENCO/CIPS Sick leave with comments.  Runs the 20th of the month Jan, Apr, Jul and Sep at 09:00 pm    #RN#DV-HR-TR# CHG0000000xxxxx </t>
  </si>
  <si>
    <t>TR33405 (NOT USED)</t>
  </si>
  <si>
    <t xml:space="preserve">run_calendar: AM_20DOMJanMayJulSep </t>
  </si>
  <si>
    <t xml:space="preserve">TRIS_RN_yearly_QuarterlyRpts_MF_TR33405   FAILED.  GENCO/CIPS Sick leave with comments. </t>
  </si>
  <si>
    <t xml:space="preserve">	AM_20DOM</t>
  </si>
  <si>
    <t>TR33137
TI0545-Absence eception report data extract
TR078-Absence exception report type 1
TR078-Absence exception report type 2
TR078-Absence exception report type 3
TR078-Absence exception report type 4
TR078-Absence exception report type 5
TR086-Absence exception report type 6</t>
  </si>
  <si>
    <t>https://rxvavgtcv7.execute-api.us-east-1.amazonaws.com/dev/tr-33137</t>
  </si>
  <si>
    <t xml:space="preserve">Executive quarterly overtime report -- Runs the 15th of Jan, Apr, Jul and Oct at 05:00 pm    #RN#DV-HR-TR# CHG0000000xxxxx </t>
  </si>
  <si>
    <t xml:space="preserve">TR33407 </t>
  </si>
  <si>
    <t xml:space="preserve">run_calendar: AM_15DOMJanAprJulOct </t>
  </si>
  <si>
    <t>TRIS_RN_yearly_QuarterlyRpts_MF_TR33407   FAILED.  Executive quarterly overtime report.  Runs the 15th of Jan, Apr, Jul and Oct at 05:00 pm</t>
  </si>
  <si>
    <t xml:space="preserve">TR33306
TR022-PAYROLL DISTRIBUTION / VARIABLE ACCOUNTING
TI533-Create TR-PD variable accounting transaction file this is passed to the TR-PD interface
TI1010-TR-PD variations report
</t>
  </si>
  <si>
    <t xml:space="preserve">Sick leave summary report.  Runs the 20th of the month Jan, Mar, Apr, Jun, Jul and Sep at 05:00 pm    #RN#DV-HR-TR# CHG0000000xxxxx </t>
  </si>
  <si>
    <t xml:space="preserve">TR33408 </t>
  </si>
  <si>
    <t xml:space="preserve">run_calendar: AM_20DOMJanMarAprJunJulSep </t>
  </si>
  <si>
    <t xml:space="preserve">TRIS_RH_yearly_QuarterlyRpts_MF_TR33408  FAILED.    Sick leave summary report. </t>
  </si>
  <si>
    <t xml:space="preserve">	mo,tu,we,th,fr - exclude holidays </t>
  </si>
  <si>
    <t>minutes after each hour between 07:20-19:00:  20,30,40,50,00,10</t>
  </si>
  <si>
    <t xml:space="preserve">	C:\TRISBatch\mTCAutoImport\ConsoleAutoImport.exe</t>
  </si>
  <si>
    <t>mo,tu,we,th,fr</t>
  </si>
  <si>
    <t>minutes after each hour between hours of 03:00-07:00:  00, 05, 10, 15, 20, 25, 30, 35, 40, 45, 50, 55</t>
  </si>
  <si>
    <t>C:\TRISBatch\mTCAutoImport\ConsoleAutoImport.exe</t>
  </si>
  <si>
    <t>su,sa</t>
  </si>
  <si>
    <t xml:space="preserve">minutes after each hour between 12:00-19:00:  00, 20, 40 </t>
  </si>
  <si>
    <t>sa</t>
  </si>
  <si>
    <t>C:\TRISBatch\PurgeNRCFM\PurgeNRCFM.exe</t>
  </si>
  <si>
    <t>1. SME for each job.
2. Preliminary Steps to resolve the Batch Failure</t>
  </si>
  <si>
    <t>$ProgPath/trisprt.sh</t>
  </si>
  <si>
    <t xml:space="preserve">	s(TRIS_RN_ReportJobsDaily,0)</t>
  </si>
  <si>
    <t xml:space="preserve">	"mv /home/autouser/Out/Tris/TrisReports.out /home/autouser/Out/Tris/TrisReports.$TimeStamp.out"</t>
  </si>
  <si>
    <t xml:space="preserve">	s(TRIS_RN_ReportJobsDailyFileDated,0)</t>
  </si>
  <si>
    <t xml:space="preserve">TR33000
TR426-Recalculate sick leave balance
</t>
  </si>
  <si>
    <t>C:\TRISBatch\PayrollDistributionReconcile\PayrollDistributionReconcile.exe</t>
  </si>
  <si>
    <t xml:space="preserve">Please don't restart  the above jobs 3 of the highlighted rows ) which the colour filled in the background cells. </t>
  </si>
  <si>
    <t>th</t>
  </si>
  <si>
    <t xml:space="preserve">	C:\TRISBatch\PurgeActualTimeAudit\PurgeActualTimeAuditDb.exe</t>
  </si>
  <si>
    <t xml:space="preserve">Below is an example of how to submit a job in Auto Sys. </t>
  </si>
  <si>
    <t>tu</t>
  </si>
  <si>
    <t xml:space="preserve">TR33211
TR053-Store department OT hours
</t>
  </si>
  <si>
    <t>On Demand (last run 9/2022)</t>
  </si>
  <si>
    <t xml:space="preserve">TR33906-Contract TRIS final job continued
TR077-Sick leave detail report (33780)
TR042-CIPS/Gen local 702 sick leave reports
TR029-Report 33701-Reported Time Adjustments
TR137-Hours worked of relief reports
TR111-Temporary referral worker (TRW) report
</t>
  </si>
  <si>
    <t>On Demand (typically around 10/20)</t>
  </si>
  <si>
    <t>TR33440
TR113-Contract vacation entitlement (33740)</t>
  </si>
  <si>
    <t xml:space="preserve">TR33442-Holiday exception processing
TI0505-Employee holiday exception processing
TI1004-Print holiday error report
</t>
  </si>
  <si>
    <t>https://rxvavgtcv7.execute-api.us-east-1.amazonaws.com/dev/tr-33442</t>
  </si>
  <si>
    <t xml:space="preserve">TR33451
TR113-management vacation entitlement
</t>
  </si>
  <si>
    <t xml:space="preserve">	AM_1WDOM_JanAprJulOct</t>
  </si>
  <si>
    <t xml:space="preserve">	04:00</t>
  </si>
  <si>
    <t xml:space="preserve">TR33400
TR121-E&amp;C actual project hours
TR122-E&amp;C non-project hours
</t>
  </si>
  <si>
    <t>https://rxvavgtcv7.execute-api.us-east-1.amazonaws.com/dev/tr-33400</t>
  </si>
  <si>
    <t>AM_20DOMJanAprJulOct</t>
  </si>
  <si>
    <t xml:space="preserve">Tr33401
TR130-allowed time quarterly absence report
TI0544-sick leave summary data extract
TR041-sick leave summary report by budget
TR099-Annual sick leave hours by union
TR049-Annual sick leave hours by uion without injury and maternity
</t>
  </si>
  <si>
    <t>https://rxvavgtcv7.execute-api.us-east-1.amazonaws.com/dev/tr-33401</t>
  </si>
  <si>
    <t>AM_15DOMJanAprJulOct</t>
  </si>
  <si>
    <t xml:space="preserve">TR33407
TR087-Executive quarterly overtime report
</t>
  </si>
  <si>
    <t>AM_20DOMJanMarAprJunJulSep</t>
  </si>
  <si>
    <t>TR33408
TI0544-Sick leave summary data extract
TR058-Sick leave summary report</t>
  </si>
  <si>
    <t>https://rxvavgtcv7.execute-api.us-east-1.amazonaws.com/dev/tr-33408</t>
  </si>
  <si>
    <t xml:space="preserve">	AM_FOM</t>
  </si>
  <si>
    <t>AM_20DOM</t>
  </si>
  <si>
    <t xml:space="preserve">TR33318N-send files 
</t>
  </si>
  <si>
    <r>
      <rPr>
        <b/>
        <sz val="11"/>
        <color theme="1"/>
        <rFont val="Calibri"/>
        <family val="2"/>
        <scheme val="minor"/>
      </rPr>
      <t>Notes</t>
    </r>
    <r>
      <rPr>
        <sz val="11"/>
        <color theme="1"/>
        <rFont val="Calibri"/>
        <family val="2"/>
        <scheme val="minor"/>
      </rPr>
      <t xml:space="preserve">:  </t>
    </r>
    <r>
      <rPr>
        <b/>
        <sz val="11"/>
        <color theme="1"/>
        <rFont val="Calibri"/>
        <family val="2"/>
        <scheme val="minor"/>
      </rPr>
      <t xml:space="preserve">Priority of jobs </t>
    </r>
  </si>
  <si>
    <r>
      <rPr>
        <sz val="11"/>
        <color rgb="FF000000"/>
        <rFont val="Calibri"/>
        <family val="2"/>
        <scheme val="minor"/>
      </rPr>
      <t xml:space="preserve">The above highlighted  in </t>
    </r>
    <r>
      <rPr>
        <b/>
        <sz val="11"/>
        <color rgb="FFFF0000"/>
        <rFont val="Calibri"/>
        <family val="2"/>
        <scheme val="minor"/>
      </rPr>
      <t>Red</t>
    </r>
    <r>
      <rPr>
        <sz val="11"/>
        <color rgb="FF000000"/>
        <rFont val="Calibri"/>
        <family val="2"/>
        <scheme val="minor"/>
      </rPr>
      <t xml:space="preserve"> in the above rows indicates that  the job needs to be complete ASAP.  Contact SME Imeediately </t>
    </r>
  </si>
  <si>
    <r>
      <t xml:space="preserve">The above highlighted in </t>
    </r>
    <r>
      <rPr>
        <b/>
        <sz val="11"/>
        <color theme="1"/>
        <rFont val="Calibri"/>
        <family val="2"/>
        <scheme val="minor"/>
      </rPr>
      <t xml:space="preserve"> </t>
    </r>
    <r>
      <rPr>
        <b/>
        <sz val="11"/>
        <color rgb="FF00B050"/>
        <rFont val="Calibri"/>
        <family val="2"/>
        <scheme val="minor"/>
      </rPr>
      <t>Green</t>
    </r>
    <r>
      <rPr>
        <sz val="11"/>
        <color theme="1"/>
        <rFont val="Calibri"/>
        <family val="2"/>
        <scheme val="minor"/>
      </rPr>
      <t xml:space="preserve">  jobs indicates that the respective  job needs to be complete on  the sme day . </t>
    </r>
  </si>
  <si>
    <r>
      <t xml:space="preserve">The above rest </t>
    </r>
    <r>
      <rPr>
        <sz val="11"/>
        <color rgb="FF00B0F0"/>
        <rFont val="Calibri"/>
        <family val="2"/>
        <scheme val="minor"/>
      </rPr>
      <t>unhighlighted</t>
    </r>
    <r>
      <rPr>
        <sz val="11"/>
        <color theme="1"/>
        <rFont val="Calibri"/>
        <family val="2"/>
        <scheme val="minor"/>
      </rPr>
      <t xml:space="preserve"> jobs  can wait. Coordiante with SME in working hours.  </t>
    </r>
  </si>
  <si>
    <r>
      <rPr>
        <b/>
        <sz val="11"/>
        <color theme="1"/>
        <rFont val="Calibri"/>
        <family val="2"/>
        <scheme val="minor"/>
      </rPr>
      <t>NOTE:</t>
    </r>
    <r>
      <rPr>
        <sz val="11"/>
        <color theme="1"/>
        <rFont val="Calibri"/>
        <family val="2"/>
        <scheme val="minor"/>
      </rPr>
      <t xml:space="preserve"> Assume we have 1,2,3 jobs in order.  If 1 is succesfull and 2 and one is failed .  Do not skip the 2 nd one and run the 3rd job until the 2 nd job  issue has been resolved .</t>
    </r>
  </si>
  <si>
    <r>
      <rPr>
        <b/>
        <sz val="11"/>
        <color theme="1"/>
        <rFont val="Calibri"/>
        <family val="2"/>
        <scheme val="minor"/>
      </rPr>
      <t>Note :</t>
    </r>
    <r>
      <rPr>
        <sz val="11"/>
        <color theme="1"/>
        <rFont val="Calibri"/>
        <family val="2"/>
        <scheme val="minor"/>
      </rPr>
      <t xml:space="preserve"> If any of the job fails , try to forcestart the job in SERVICE NOW  by  using the below link .                                                                          </t>
    </r>
  </si>
  <si>
    <t>AutoSys - Ameren Self-Service (service-now.com)</t>
  </si>
  <si>
    <t>s(TRIS_RH_ARCOS_HR_Daily)</t>
  </si>
  <si>
    <t>s(TRIS_RH_Contract_Final_020_BuildPayrollFiles_vDEPT_TBL_TR)</t>
  </si>
  <si>
    <t>s(TRIS_RH_daily_450_MF_TR33115,03.00)</t>
  </si>
  <si>
    <t>RRIS_RH_OnRequest_HRinterface_MF_TR33102</t>
  </si>
  <si>
    <t>AM_2DOMFebMarMayJunAugSepNovDec</t>
  </si>
  <si>
    <t>AM_2DOM</t>
  </si>
  <si>
    <t xml:space="preserve">mo,tu,we,th,fr - exclude holidays </t>
  </si>
  <si>
    <t>s(TRIS_RN_ReportJobsDaily,0)</t>
  </si>
  <si>
    <t>s(TRIS_RN_ReportJobsDailyFileDated,0)</t>
  </si>
  <si>
    <t>AM_1WDOM_JanAprJulOct</t>
  </si>
  <si>
    <r>
      <t>Notes</t>
    </r>
    <r>
      <rPr>
        <sz val="11"/>
        <color rgb="FF000000"/>
        <rFont val="Calibri"/>
        <family val="2"/>
      </rPr>
      <t xml:space="preserve">:  </t>
    </r>
    <r>
      <rPr>
        <b/>
        <sz val="11"/>
        <color rgb="FF000000"/>
        <rFont val="Calibri"/>
        <family val="2"/>
      </rPr>
      <t xml:space="preserve">Priority of jobs </t>
    </r>
  </si>
  <si>
    <r>
      <t xml:space="preserve">The above highlighted  in </t>
    </r>
    <r>
      <rPr>
        <b/>
        <sz val="11"/>
        <color rgb="FFFF0000"/>
        <rFont val="Calibri"/>
        <family val="2"/>
      </rPr>
      <t>Red</t>
    </r>
    <r>
      <rPr>
        <sz val="11"/>
        <color rgb="FF000000"/>
        <rFont val="Calibri"/>
        <family val="2"/>
      </rPr>
      <t xml:space="preserve"> in the above rows indicates that  the job needs to be complete ASAP.  Contact SME Imeediately </t>
    </r>
  </si>
  <si>
    <r>
      <t xml:space="preserve">The above highlighted in </t>
    </r>
    <r>
      <rPr>
        <b/>
        <sz val="11"/>
        <color rgb="FF000000"/>
        <rFont val="Calibri"/>
        <family val="2"/>
      </rPr>
      <t xml:space="preserve"> </t>
    </r>
    <r>
      <rPr>
        <b/>
        <sz val="11"/>
        <color rgb="FF00B050"/>
        <rFont val="Calibri"/>
        <family val="2"/>
      </rPr>
      <t>Green</t>
    </r>
    <r>
      <rPr>
        <sz val="11"/>
        <color rgb="FF000000"/>
        <rFont val="Calibri"/>
        <family val="2"/>
      </rPr>
      <t xml:space="preserve">  jobs indicates that the respective  job needs to be complete on  the sme day . </t>
    </r>
  </si>
  <si>
    <r>
      <t xml:space="preserve">The above rest </t>
    </r>
    <r>
      <rPr>
        <sz val="11"/>
        <color rgb="FF00B0F0"/>
        <rFont val="Calibri"/>
        <family val="2"/>
      </rPr>
      <t>unhighlighted</t>
    </r>
    <r>
      <rPr>
        <sz val="11"/>
        <color rgb="FF000000"/>
        <rFont val="Calibri"/>
        <family val="2"/>
      </rPr>
      <t xml:space="preserve"> jobs  can wait. Coordiante with SME in working hours.  </t>
    </r>
  </si>
  <si>
    <r>
      <t>NOTE:</t>
    </r>
    <r>
      <rPr>
        <sz val="11"/>
        <color rgb="FF000000"/>
        <rFont val="Calibri"/>
        <family val="2"/>
      </rPr>
      <t xml:space="preserve"> Assume we have 1,2,3 jobs in order.  If 1 is succesfull and 2 and one is failed .  Do not skip the 2 nd one and run the 3rd job until the 2 nd job  issue has been resolved .</t>
    </r>
  </si>
  <si>
    <r>
      <t>Note :</t>
    </r>
    <r>
      <rPr>
        <sz val="11"/>
        <color rgb="FF000000"/>
        <rFont val="Calibri"/>
        <family val="2"/>
      </rPr>
      <t xml:space="preserve"> If any of the job fails , try to forcestart the job in SERVICE NOW  by  using the below link .                                                                          </t>
    </r>
  </si>
  <si>
    <t>Process Name</t>
  </si>
  <si>
    <t>Program</t>
  </si>
  <si>
    <t>Reconciliation</t>
  </si>
  <si>
    <t>AR13999</t>
  </si>
  <si>
    <t>Copy Job</t>
  </si>
  <si>
    <t>DB12287N</t>
  </si>
  <si>
    <t>Load DB2</t>
  </si>
  <si>
    <t>DB12005N</t>
  </si>
  <si>
    <t>This sheet contains the Mapping of COBOL Programs (Main Programs) Being invoked from the JOB. Typically a Mainframe JOB contains steps, that execute in a sequential order and each step of the JOB executes an Application Programs or Utility Program (Load, Unload, Sort)</t>
  </si>
  <si>
    <t>AR13895</t>
  </si>
  <si>
    <t>AR13872</t>
  </si>
  <si>
    <t>AR13687</t>
  </si>
  <si>
    <t>FTP Contract Payroll Files</t>
  </si>
  <si>
    <t>AR13587</t>
  </si>
  <si>
    <t>FTP Executive Payroll Files</t>
  </si>
  <si>
    <t>Maintain</t>
  </si>
  <si>
    <t>TR33106N</t>
  </si>
  <si>
    <t>Maintains table TTR_JOBS</t>
  </si>
  <si>
    <t>TR014</t>
  </si>
  <si>
    <t>TR33107</t>
  </si>
  <si>
    <t>Maintains table TTR_ASSOCIATIONS</t>
  </si>
  <si>
    <t>TR015
TR085</t>
  </si>
  <si>
    <t>TR33102</t>
  </si>
  <si>
    <t>HR interface via Common Employee</t>
  </si>
  <si>
    <t>TR009
TR129</t>
  </si>
  <si>
    <t>Seniority</t>
  </si>
  <si>
    <t>TR33136N</t>
  </si>
  <si>
    <t>Seniority Accrual</t>
  </si>
  <si>
    <t>TI0510
TR127</t>
  </si>
  <si>
    <t>TRBE</t>
  </si>
  <si>
    <t>TR33115N</t>
  </si>
  <si>
    <t>TRBE Process</t>
  </si>
  <si>
    <t>TI0504
TI0503
TI0538
TI1003
TI0508</t>
  </si>
  <si>
    <t>Contract Payroll</t>
  </si>
  <si>
    <t>TR33103N</t>
  </si>
  <si>
    <t>Contract Pre Payroll</t>
  </si>
  <si>
    <t>TR033                   TR001 
TR039                 TR051 
TR052                      TR003                      TR050                TR021                     TR117
TR003C               TR050C             TR021C               TR104                    TR115
TR105                 TR106                      TR108 
TR004 
TR005
TR077
TR029</t>
  </si>
  <si>
    <t>TR33101N</t>
  </si>
  <si>
    <t>Contract Daily Payroll</t>
  </si>
  <si>
    <t>TR001                 TR051                    TR052
TR003                          TR050                        TR021
TR003C
TR050C
TR021C
 TR105 
TR106 
TR108                        TR004                    TR005                      TR077                     TR029</t>
  </si>
  <si>
    <t>TR33200</t>
  </si>
  <si>
    <t>Contract Final Payroll</t>
  </si>
  <si>
    <t>TR001 
TR039                      TR051 
TR052                      TR003                      TR050                            TR021                     
TR003C               TR050C             TR021C                                   
TR105                      TR106                         TR131                   TR108 
TR004 
TR005
TR060
TR033                    TR037</t>
  </si>
  <si>
    <t>TR33206</t>
  </si>
  <si>
    <t>Contract Final (Update sick leave banks/generate reports)</t>
  </si>
  <si>
    <t>TR109                 TR107                           TR077                           TR042                   TR029                        TR026
TR135
TR136
TR137                                   TR111                       TR134</t>
  </si>
  <si>
    <t>Executive Payroll</t>
  </si>
  <si>
    <t>TR33201</t>
  </si>
  <si>
    <t>Executive Final Payroll</t>
  </si>
  <si>
    <t>TR001
TR033
TR039
TR051
TR052
TR003
TR050
TR021
TR103
TR004
TR005
TR044
TR060
TR077
TR029
TR026
TR135
TR128
TR037</t>
  </si>
  <si>
    <t>Overtime</t>
  </si>
  <si>
    <t>TR33108</t>
  </si>
  <si>
    <t>Delayed Overtime Bank Charges</t>
  </si>
  <si>
    <t>TR008</t>
  </si>
  <si>
    <t>TR33211</t>
  </si>
  <si>
    <t>Weekly Overtime Report (Missouri)</t>
  </si>
  <si>
    <t>TR053</t>
  </si>
  <si>
    <t>Monthly</t>
  </si>
  <si>
    <t>TR33311</t>
  </si>
  <si>
    <t>Seniority List Local</t>
  </si>
  <si>
    <t>TR090
TR091
TR092
TR093
TR094
TR083</t>
  </si>
  <si>
    <t>TR33137</t>
  </si>
  <si>
    <t>Absence Exception Report</t>
  </si>
  <si>
    <t>TI0545
TR078 (A,B,C,D,E)
TR086</t>
  </si>
  <si>
    <t>TR33408</t>
  </si>
  <si>
    <t>Sick Leave Summary Report</t>
  </si>
  <si>
    <t>TI0544
TR058</t>
  </si>
  <si>
    <t>Quaterly</t>
  </si>
  <si>
    <t>TR33400</t>
  </si>
  <si>
    <t>E&amp;C Report (Project / Non-Project)</t>
  </si>
  <si>
    <t>TR121
TR122</t>
  </si>
  <si>
    <t>TR33402</t>
  </si>
  <si>
    <t>Seniority List Union Local</t>
  </si>
  <si>
    <t>TR095
TR096
TR097</t>
  </si>
  <si>
    <t>TR33407</t>
  </si>
  <si>
    <t>Overtime Report</t>
  </si>
  <si>
    <t>TR087</t>
  </si>
  <si>
    <t>TR33401</t>
  </si>
  <si>
    <t>Sick Leave Reports</t>
  </si>
  <si>
    <t>TR130
TI0544
TR041
TR099
TR049</t>
  </si>
  <si>
    <t>Yearly</t>
  </si>
  <si>
    <t>TR33445</t>
  </si>
  <si>
    <t>Vacation Carry Over and update report</t>
  </si>
  <si>
    <t>TR114</t>
  </si>
  <si>
    <t>TR33446</t>
  </si>
  <si>
    <t>Annual Sick Leave and Vacation Summary</t>
  </si>
  <si>
    <t xml:space="preserve">TR110
TR139
TR140                           TR098
TI0543
TR070
TR071
TR072
TR074
TR132                         </t>
  </si>
  <si>
    <t>TR33406</t>
  </si>
  <si>
    <t>CIPS Local 702 Sick Leave Report</t>
  </si>
  <si>
    <t>TR043</t>
  </si>
  <si>
    <t>On Request</t>
  </si>
  <si>
    <t>TR33442</t>
  </si>
  <si>
    <t>Build Holidays (Runs October)</t>
  </si>
  <si>
    <t>TI0505
TI1004</t>
  </si>
  <si>
    <t>TR33451</t>
  </si>
  <si>
    <t>Vacation Allotment Management Employee Report (Runs October)</t>
  </si>
  <si>
    <t>TR113</t>
  </si>
  <si>
    <t>TR33440</t>
  </si>
  <si>
    <t>Vacation Allotment Contract Employee Report (Runs October)</t>
  </si>
  <si>
    <t>TR33000</t>
  </si>
  <si>
    <t xml:space="preserve">RECALCULATE SICK LEAVE BALANCE       </t>
  </si>
  <si>
    <t>TR426</t>
  </si>
  <si>
    <t>TR33112</t>
  </si>
  <si>
    <t>Executive Preliminary Payroll</t>
  </si>
  <si>
    <t>TR033                   TR001                       TR039                      TR051                          TR052
TR003                   TR050                      TR021                       TR103
TR004
TR005                            TR029
TR048
TR128</t>
  </si>
  <si>
    <t>Stored PROCs</t>
  </si>
  <si>
    <t>TR33122</t>
  </si>
  <si>
    <t xml:space="preserve">OVERTIME EQUALIZATION REPORT </t>
  </si>
  <si>
    <t>TR126 (2)</t>
  </si>
  <si>
    <t>TR33142</t>
  </si>
  <si>
    <t>TR081 (4)</t>
  </si>
  <si>
    <t>TR33145</t>
  </si>
  <si>
    <t>Vacation Summary</t>
  </si>
  <si>
    <t>TR133 (3)</t>
  </si>
  <si>
    <t>TR33128</t>
  </si>
  <si>
    <t>Overtime Adjustment Report</t>
  </si>
  <si>
    <t>TR125 (1)</t>
  </si>
  <si>
    <t>TR33120</t>
  </si>
  <si>
    <t>Overtime Canvass   (TTR_JCL -- INSERTS GOOD)</t>
  </si>
  <si>
    <t>TR027</t>
  </si>
  <si>
    <t>Job</t>
  </si>
  <si>
    <t>Legacy Autosys Job</t>
  </si>
  <si>
    <t>TRIS_RH_daily_410_MF_TR33106</t>
  </si>
  <si>
    <t>TRIS_RH_daily_420_MF_TR33107</t>
  </si>
  <si>
    <t>TRIS_RH_daily_430_MF_TR33102</t>
  </si>
  <si>
    <t>TRIS_RH_daily_440_MF_TR33136</t>
  </si>
  <si>
    <t>TRIS_RH_daily_450_MF_TR33115</t>
  </si>
  <si>
    <t>TRIS_RH_daily_700_MF_TR33101N</t>
  </si>
  <si>
    <t>TR033                   TR001 
TR039                            TR051 
TR052                      TR003                      TR050                              TR021                     TR117
TR003C               TR050C             TR021C               TR104                    TR115
TR105                          TR106                      TR108 
TR004 
TR005
TR077
TR029</t>
  </si>
  <si>
    <t>TRIS_RH_Contract_Final_600_MF_TR33206</t>
  </si>
  <si>
    <t>TRIS_RH_Executive_Final_410_MF_TR33201</t>
  </si>
  <si>
    <t>TRIS_RH_Daily_everyday_0005_DelayedOTBanks_MF_TR33108</t>
  </si>
  <si>
    <t>TRIS_RH_yearly_Jan25_1730_MF_TR33445</t>
  </si>
  <si>
    <t>TRIS_RH_yearly_Jan25_1800_MF_TR33446</t>
  </si>
  <si>
    <t>TRIS_RH_yearly_Jan25_2000_MF_TR33406</t>
  </si>
  <si>
    <t>TRIS_RN_Sick_Leave_Recalculate_Bank_Balances_MF_TR33000</t>
  </si>
  <si>
    <t>TRIS_RH_Executive_Preliminary_OnRequest_MF_TR33112</t>
  </si>
  <si>
    <t>MuleSoft Integration</t>
  </si>
  <si>
    <t>ARCO Integration</t>
  </si>
  <si>
    <t>TRIS_RH_ARCOS_HR_Daily</t>
  </si>
  <si>
    <t xml:space="preserve">TRIS_RH_ARCOS_Overtime_Daily    </t>
  </si>
  <si>
    <t xml:space="preserve">TRIS_RH_ARCOS_Overtime_Weekly   </t>
  </si>
  <si>
    <t>TRIS_RH_ARCOS_Sched_Daily</t>
  </si>
  <si>
    <t>Workday Integration</t>
  </si>
  <si>
    <t xml:space="preserve">TRIS_RH_Contract_Final_550_Send_ToPayroll </t>
  </si>
  <si>
    <t>TRIS_RH_daily_445_workday_Seniority_Interface</t>
  </si>
  <si>
    <t>TRIS_RH_Daily_everyday_1900_workday_FMLA_Interface</t>
  </si>
  <si>
    <t xml:space="preserve">TRIS_RH_Executive_Final_550_Send_ToPayroll </t>
  </si>
  <si>
    <t>Maximo Integration</t>
  </si>
  <si>
    <t>New TRIS &amp; C#</t>
  </si>
  <si>
    <t xml:space="preserve">SME  -- Comments </t>
  </si>
  <si>
    <t>Condition</t>
  </si>
  <si>
    <t>JCL 
library</t>
  </si>
  <si>
    <t>Has
Date 
Condition</t>
  </si>
  <si>
    <t>Days of Week</t>
  </si>
  <si>
    <t>Send 
Notification</t>
  </si>
  <si>
    <t>Schedule 
Priority</t>
  </si>
  <si>
    <t xml:space="preserve">s(TRIS_RH_ARCOS_Overtime_Daily) </t>
  </si>
  <si>
    <t xml:space="preserve">s(TRIS_RH_ARCOS_HR_Daily) </t>
  </si>
  <si>
    <t xml:space="preserve">we </t>
  </si>
  <si>
    <t xml:space="preserve">s(TRIS_RH_Contract_Final_010_BuildPayrollFiles_vJOB_TR) </t>
  </si>
  <si>
    <t xml:space="preserve">s(TRIS_RH_Contract_Final_020_BuildPayrollFiles_vDEPT_TBL_TR) </t>
  </si>
  <si>
    <t xml:space="preserve">s(TRIS_RH_Contract_Final_030_BuildPayrollFiles_vJOBCODE_TR) </t>
  </si>
  <si>
    <t xml:space="preserve">FTP Jobs Not Applicable </t>
  </si>
  <si>
    <t xml:space="preserve">s(TRIS_RH_Contract_Final_040_BuildPayrollFiles_vSAL_STEP_TR) </t>
  </si>
  <si>
    <t xml:space="preserve">s(TRIS_RH_Contract_Final_050_BuildPayrollFiles_FTP_vJOB_TR) </t>
  </si>
  <si>
    <t xml:space="preserve">s(TRIS_RH_Contract_Final_060_BuildPayrollFiles_FTP_vDEPT_TR) </t>
  </si>
  <si>
    <t xml:space="preserve">s(TRIS_RH_Contract_Final_070_BuildPayrollFiles_FTP_vJOBCODE) </t>
  </si>
  <si>
    <t>Cobol DB2 load Not in Autosys</t>
  </si>
  <si>
    <t>OBULA</t>
  </si>
  <si>
    <t xml:space="preserve">s(TRIS_RH_Contract_Final_080_BuildPayrollFiles_FTP_vSAL) </t>
  </si>
  <si>
    <t xml:space="preserve">s(TRIS_RH_Contract_Final_200_MF_AR13895) </t>
  </si>
  <si>
    <t>TR_RN_ContractPayroll_TR33200_Trigger_HTTP</t>
  </si>
  <si>
    <t xml:space="preserve">s(TRIS_RH_Contract_Final_300_Build_HR_History_View) </t>
  </si>
  <si>
    <t xml:space="preserve">s(TRIS_RH_Contract_Final_410_MF_TR33200) </t>
  </si>
  <si>
    <t xml:space="preserve">s(TRIS_RH_Contract_Final_530_Send_Copy_PayrollFile) </t>
  </si>
  <si>
    <t xml:space="preserve">                "Escalate to Venka when called by Pager Duty"</t>
  </si>
  <si>
    <t xml:space="preserve">s(TRIS_RH_Contract_Final_540_Send_Move_PayrollFile) </t>
  </si>
  <si>
    <t>TR_RN_ContractPayroll_TR33206_Trigger_HTTP</t>
  </si>
  <si>
    <t>TR_RN_ContractPayroll_TR33103N_Trigger_HTTP</t>
  </si>
  <si>
    <t xml:space="preserve">s(TRIS_RH_daily_010_BuildCommon_Department) </t>
  </si>
  <si>
    <t xml:space="preserve">s(TRIS_RH_daily_020_BuildCommon_Employee) </t>
  </si>
  <si>
    <t xml:space="preserve">s(TRIS_RH_daily_030_BuildCommon_FTP_Department) </t>
  </si>
  <si>
    <t xml:space="preserve">s(TRIS_RH_daily_040_BuildCommon_FTP_Employee) </t>
  </si>
  <si>
    <t xml:space="preserve">s(TRIS_RH_daily_050_BuildCommon_FTP_THRDBEmployee) </t>
  </si>
  <si>
    <t xml:space="preserve">s(TRIS_RH_daily_070_BuildCommon_Associations) </t>
  </si>
  <si>
    <t xml:space="preserve">s(TRIS_RH_daily_080_BuildCommon_FTP_Associations) </t>
  </si>
  <si>
    <t xml:space="preserve">s(TRIS_RH_daily_100_BuildPayrollFiles_vJOB_TR) </t>
  </si>
  <si>
    <t xml:space="preserve">s(TRIS_RH_daily_110_BuildPayrollFiles_vDEPT_TBL_TR) </t>
  </si>
  <si>
    <t xml:space="preserve">s(TRIS_RH_daily_120_BuildPayrollFiles_vJOBCODE_TBL_TR) </t>
  </si>
  <si>
    <t xml:space="preserve">s(TRIS_RH_daily_130_BuildPayrollFiles_vSAL_STEP_TBL_TR) </t>
  </si>
  <si>
    <t xml:space="preserve">s(TRIS_RH_daily_140_BuildPayrollFiles_FTP_vJOB_TR) </t>
  </si>
  <si>
    <t xml:space="preserve">s(TRIS_RH_daily_150_BuildPayrollFiles_FTP_vDEPT_TBL_TR) </t>
  </si>
  <si>
    <t xml:space="preserve">s(TRIS_RH_daily_160_BuildPayrollFiles_FTP_vJOBCODE_TBL_TR) </t>
  </si>
  <si>
    <t xml:space="preserve">s(TRIS_RH_daily_170_BuildPayrollFiles_FTP_vSAL_STEP_TBL_TR) </t>
  </si>
  <si>
    <t xml:space="preserve">s(TRIS_RH_daily_300_MF_AR13872) </t>
  </si>
  <si>
    <t xml:space="preserve">s(TRIS_RH_daily_310_MF_AR13999) </t>
  </si>
  <si>
    <t xml:space="preserve">s(TRIS_RH_daily_320_MF_AR13895) </t>
  </si>
  <si>
    <t xml:space="preserve">s(TRIS_RH_daily_330_MF_DB12287N) </t>
  </si>
  <si>
    <t xml:space="preserve">s(TRIS_RH_daily_340_MF_DB12005N) </t>
  </si>
  <si>
    <t>TR_RN_Maintain_TR33106N_Trigger_HTTP</t>
  </si>
  <si>
    <t xml:space="preserve">s(TRIS_RH_daily_380_Build_HR_History_View) </t>
  </si>
  <si>
    <t>TR_RN_Maintain_TR33107_Trigger_HTTP</t>
  </si>
  <si>
    <t xml:space="preserve">s(TRIS_RH_daily_410_MF_TR33106) </t>
  </si>
  <si>
    <t>TR_RN_Maintain_TR33102_Trigger_HTTP</t>
  </si>
  <si>
    <t xml:space="preserve">s(TRIS_RH_daily_420_MF_TR33107) </t>
  </si>
  <si>
    <t>s(TRIS_RH_daily_430_MF_TR33102)</t>
  </si>
  <si>
    <t xml:space="preserve">                If TRIS_RH_daily_445_workday_Seniority_Interface keeps failing,  the status of TRIS_RH_daily_445_workday_Seniority_Interface needs to be changed to Success.</t>
  </si>
  <si>
    <t xml:space="preserve">s(TRIS_RH_daily_440_MF_TR33136) </t>
  </si>
  <si>
    <t>su,mo,tu,we,th,fr,</t>
  </si>
  <si>
    <t xml:space="preserve">s(TRIS_RH_daily_450_MF_TR33115) </t>
  </si>
  <si>
    <t xml:space="preserve"> mo,tu </t>
  </si>
  <si>
    <t>TR_RN_ContractPayroll_TR33101N_Trigger_HTTP</t>
  </si>
  <si>
    <t xml:space="preserve">s(TRIS_RH_daily_600_MF_TR33103N) </t>
  </si>
  <si>
    <t xml:space="preserve">s(TRIS_RH_daily_700_MF_TR33101N) </t>
  </si>
  <si>
    <t xml:space="preserve"> mo,tu,we,th,fr </t>
  </si>
  <si>
    <t xml:space="preserve">s(TRIS_RH_daily_800_TRISBIExtract) </t>
  </si>
  <si>
    <t xml:space="preserve">su,mo,tu,we,th,fr,sa </t>
  </si>
  <si>
    <t xml:space="preserve">s(TRIS_RH_Daily_everyday_1900_DeptMaint_01_MF_TR33321) </t>
  </si>
  <si>
    <t xml:space="preserve">mo,tu,we,th,fr,sa </t>
  </si>
  <si>
    <t xml:space="preserve">s(TRIS_RH_Executive_Final_010_BuildPayrollFiles_vJOB_TR) </t>
  </si>
  <si>
    <t xml:space="preserve">s(TRIS_RH_Executive_Final_020_BuildPayrollFiles_vDEPT_TBL_TR) </t>
  </si>
  <si>
    <t xml:space="preserve">s(TRIS_RH_Executive_Final_030_BuildPayrollFiles_vJOBCODE_TR) </t>
  </si>
  <si>
    <t xml:space="preserve">s(TRIS_RH_Executive_Final_040_BuildPayrollFiles_vSAL_STEP_TR) </t>
  </si>
  <si>
    <t xml:space="preserve">s(TRIS_RH_Executive_Final_060_BuildPayrollFiles_FTP_vDEPT_TR) </t>
  </si>
  <si>
    <t xml:space="preserve">s(TRIS_RH_Executive_Final_070_BuildPayrollFiles_FTP_vJOBCODE) </t>
  </si>
  <si>
    <t xml:space="preserve">s(TRIS_RH_Executive_Final_080_BuildPayrollFiles_FTP_vSAL) </t>
  </si>
  <si>
    <t xml:space="preserve">s(TRIS_RH_Executive_Final_200_MF_AR13895) </t>
  </si>
  <si>
    <t xml:space="preserve">s(TRIS_RH_Executive_Final_300_Build_HR_History_View) </t>
  </si>
  <si>
    <t>TR_RN_ExecutivePayroll_TR33201_Trigger_HTTP</t>
  </si>
  <si>
    <t xml:space="preserve">s(TRIS_RH_Executive_Final_310_COPtoUOP) </t>
  </si>
  <si>
    <t xml:space="preserve">s(TRIS_RH_Executive_Final_410_MF_TR33201) </t>
  </si>
  <si>
    <t xml:space="preserve">s(TRIS_RH_Executive_Final_420_MF_AR13587) </t>
  </si>
  <si>
    <t xml:space="preserve">s(TRIS_RH_Executive_Final_530_Send_Copy_PayrollFile) </t>
  </si>
  <si>
    <t xml:space="preserve">TRIS_RH_Executive_Final_550_Send_ToPayroll  
</t>
  </si>
  <si>
    <t xml:space="preserve">s(TRIS_RH_Executive_Final_540_Send_Move_PayrollFile) </t>
  </si>
  <si>
    <t>Now runs at 00:01 on 1st working day of month and is outside the TRIS_RH_monthly_000_PDCLOSEBOX</t>
  </si>
  <si>
    <t xml:space="preserve">s(TRIS_RH_monthly_140_Move_LaborHoursFile) </t>
  </si>
  <si>
    <t xml:space="preserve">s(TRIS_RH_sunday_010_BuildCommon_Department) </t>
  </si>
  <si>
    <t>FTP Jobs Not Applicable</t>
  </si>
  <si>
    <t xml:space="preserve">s(TRIS_RH_sunday_020_BuildCommon_Employee) </t>
  </si>
  <si>
    <t xml:space="preserve">s(TRIS_RH_sunday_030_BuildCommon_FTP_Department) </t>
  </si>
  <si>
    <t xml:space="preserve">s(TRIS_RH_sunday_040_BuildCommon_FTP_Employee) </t>
  </si>
  <si>
    <t xml:space="preserve">s(TRIS_RH_sunday_080_BuildCommon_FTP_Associations) </t>
  </si>
  <si>
    <t xml:space="preserve">s(TRIS_RH_sunday_100_BuildPayrollFiles_vJOB_TR) </t>
  </si>
  <si>
    <t xml:space="preserve">s(TRIS_RH_sunday_110_BuildPayrollFiles_vDEPT_TBL_TR) </t>
  </si>
  <si>
    <t xml:space="preserve">s(TRIS_RH_sunday_120_BuildPayrollFiles_vJOBCODE_TBL_TR) </t>
  </si>
  <si>
    <t xml:space="preserve">s(TRIS_RH_sunday_130_BuildPayrollFiles_vSAL_STEP_TBL_TR) </t>
  </si>
  <si>
    <t xml:space="preserve">s(TRIS_RH_sunday_140_BuildPayrollFiles_FTP_vJOB_TR) </t>
  </si>
  <si>
    <t xml:space="preserve">s(TRIS_RH_sunday_150_BuildPayrollFiles_FTP_vDEPT_TBL_TR) </t>
  </si>
  <si>
    <t xml:space="preserve">s(TRIS_RH_sunday_160_BuildPayrollFiles_FTP_vJOBCODE_TBL_TR) </t>
  </si>
  <si>
    <t xml:space="preserve">s(TRIS_RH_sunday_170_BuildPayrollFiles_FTP_vSAL_STEP_TBL_TR) </t>
  </si>
  <si>
    <t xml:space="preserve">s(TRIS_RH_sunday_300_MF_AR13872) </t>
  </si>
  <si>
    <t xml:space="preserve">s(TRIS_RH_sunday_310_MF_AR13999) </t>
  </si>
  <si>
    <t xml:space="preserve">s(TRIS_RH_sunday_320_MF_AR13895) </t>
  </si>
  <si>
    <t xml:space="preserve">s(TRIS_RH_sunday_330_MF_DB12287N) </t>
  </si>
  <si>
    <t xml:space="preserve">s(TRIS_RH_sunday_340_MF_DB12005N) </t>
  </si>
  <si>
    <t xml:space="preserve">s(TRIS_RH_sunday_380_Build_HR_History_View) </t>
  </si>
  <si>
    <t xml:space="preserve">s(TRIS_RH_sunday_410_MF_TR33106) </t>
  </si>
  <si>
    <t xml:space="preserve">s(TRIS_RH_sunday_420_MF_TR33107) </t>
  </si>
  <si>
    <t xml:space="preserve">s(TRIS_RH_sunday_440_MF_TR33136) </t>
  </si>
  <si>
    <t xml:space="preserve">TRIS_RH_sundayBox     </t>
  </si>
  <si>
    <t xml:space="preserve">su </t>
  </si>
  <si>
    <t xml:space="preserve">s(TRIS_RH_yearly_Jan20_1730_MF_TR33445) </t>
  </si>
  <si>
    <t xml:space="preserve">s(TRIS_RH_yearly_Jan20_1800_MF_TR33446) </t>
  </si>
  <si>
    <t>TR_RN_Monthly_TR33311_Trigger_HTTP</t>
  </si>
  <si>
    <t>TR_RN_Monthly_TR33137_Trigger_HTTP</t>
  </si>
  <si>
    <t xml:space="preserve">mo,tu,we,th,fr </t>
  </si>
  <si>
    <t xml:space="preserve">su,sa </t>
  </si>
  <si>
    <t xml:space="preserve">sa </t>
  </si>
  <si>
    <t xml:space="preserve">s(TRIS_RH_daily_810_IMREmail) </t>
  </si>
  <si>
    <t xml:space="preserve">th </t>
  </si>
  <si>
    <t xml:space="preserve">tu </t>
  </si>
  <si>
    <t xml:space="preserve">TRIS_RN_yearly_QuarterlyRpts_MF_TR33405     </t>
  </si>
  <si>
    <t>TR_RN_Monthly_TR33408_Trigger_HTTP</t>
  </si>
  <si>
    <r>
      <rPr>
        <b/>
        <sz val="11"/>
        <color theme="1"/>
        <rFont val="Calibri"/>
        <family val="2"/>
        <scheme val="minor"/>
      </rPr>
      <t>Notes</t>
    </r>
    <r>
      <rPr>
        <sz val="11"/>
        <color theme="1"/>
        <rFont val="Calibri"/>
        <family val="2"/>
        <scheme val="minor"/>
      </rPr>
      <t xml:space="preserve">:  </t>
    </r>
    <r>
      <rPr>
        <b/>
        <sz val="18"/>
        <color theme="1"/>
        <rFont val="Calibri"/>
        <family val="2"/>
        <scheme val="minor"/>
      </rPr>
      <t xml:space="preserve">Priority of jobs </t>
    </r>
  </si>
  <si>
    <t xml:space="preserve">1. SME for each job.
2. Preliminary Steps to resolve the Batch Failure
</t>
  </si>
  <si>
    <r>
      <rPr>
        <sz val="11"/>
        <color rgb="FF000000"/>
        <rFont val="Calibri"/>
        <family val="2"/>
        <scheme val="minor"/>
      </rPr>
      <t xml:space="preserve">The above highlighted  in </t>
    </r>
    <r>
      <rPr>
        <b/>
        <sz val="18"/>
        <color rgb="FFFF0000"/>
        <rFont val="Calibri"/>
        <family val="2"/>
        <scheme val="minor"/>
      </rPr>
      <t>Red</t>
    </r>
    <r>
      <rPr>
        <sz val="11"/>
        <color rgb="FF000000"/>
        <rFont val="Calibri"/>
        <family val="2"/>
        <scheme val="minor"/>
      </rPr>
      <t xml:space="preserve"> in the above rows indicates that  the job needs to be complete ASAP.  Contact SME Imeediately </t>
    </r>
  </si>
  <si>
    <r>
      <t xml:space="preserve">The above highlighted in </t>
    </r>
    <r>
      <rPr>
        <b/>
        <sz val="11"/>
        <color theme="1"/>
        <rFont val="Calibri"/>
        <family val="2"/>
        <scheme val="minor"/>
      </rPr>
      <t xml:space="preserve"> </t>
    </r>
    <r>
      <rPr>
        <b/>
        <sz val="18"/>
        <color rgb="FF00B050"/>
        <rFont val="Calibri"/>
        <family val="2"/>
        <scheme val="minor"/>
      </rPr>
      <t>Green</t>
    </r>
    <r>
      <rPr>
        <sz val="11"/>
        <color theme="1"/>
        <rFont val="Calibri"/>
        <family val="2"/>
        <scheme val="minor"/>
      </rPr>
      <t xml:space="preserve">  jobs indicates that the respective  job needs to be complete on  the sme day . </t>
    </r>
  </si>
  <si>
    <r>
      <t xml:space="preserve">The above rest </t>
    </r>
    <r>
      <rPr>
        <sz val="18"/>
        <color rgb="FF00B0F0"/>
        <rFont val="Calibri"/>
        <family val="2"/>
        <scheme val="minor"/>
      </rPr>
      <t>unhighlighted</t>
    </r>
    <r>
      <rPr>
        <sz val="11"/>
        <color theme="1"/>
        <rFont val="Calibri"/>
        <family val="2"/>
        <scheme val="minor"/>
      </rPr>
      <t xml:space="preserve"> jobs  can wait. Coordiante with SME in working hours.  </t>
    </r>
  </si>
  <si>
    <r>
      <rPr>
        <b/>
        <sz val="11"/>
        <color theme="1"/>
        <rFont val="Calibri"/>
        <family val="2"/>
        <scheme val="minor"/>
      </rPr>
      <t>NOTE:</t>
    </r>
    <r>
      <rPr>
        <sz val="11"/>
        <color theme="1"/>
        <rFont val="Calibri"/>
        <family val="2"/>
        <scheme val="minor"/>
      </rPr>
      <t xml:space="preserve"> Assume we have 1,2,3 jobs in order.  If 1 is succesfull and 2 nd one is failed .  Donot skip the 2 nd one and run the 3rd job untill the 2 nd job  issue has been resolved .</t>
    </r>
  </si>
  <si>
    <t>SL No</t>
  </si>
  <si>
    <t>Program Name</t>
  </si>
  <si>
    <t>Type</t>
  </si>
  <si>
    <t>LOC</t>
  </si>
  <si>
    <t>TI0503</t>
  </si>
  <si>
    <t>TRBE Auto Build Time</t>
  </si>
  <si>
    <t>This is an exchaustive list of all COBOL Programs In Scope. This tab contains the list of All COBOL Programs which are being invoked from Mainframe Batch Jobs. As well as all the Called COBOL Sub Program which are being invoked from the Main COBOL Programs. Mainframe Programs are marked as Type Programs while the Called Programs are marked as Sub-Programs</t>
  </si>
  <si>
    <t>TI0504</t>
  </si>
  <si>
    <t>TI0505</t>
  </si>
  <si>
    <t>CREATE HOLIDAY EXCEPTIONS</t>
  </si>
  <si>
    <t>TI0507</t>
  </si>
  <si>
    <t>Obsolete</t>
  </si>
  <si>
    <t>Jim Confirmed program No longer needed</t>
  </si>
  <si>
    <t>TI0508</t>
  </si>
  <si>
    <t>UPDATE TRBE SUNDAY DATE</t>
  </si>
  <si>
    <t>TI0510</t>
  </si>
  <si>
    <t>SENIORITY ACCRUALS</t>
  </si>
  <si>
    <t>TI0534</t>
  </si>
  <si>
    <t>TI0538</t>
  </si>
  <si>
    <t>TRBE REBUILD STRAIGHT TIME</t>
  </si>
  <si>
    <t>TI0543</t>
  </si>
  <si>
    <t>TI0544</t>
  </si>
  <si>
    <t>TI0545</t>
  </si>
  <si>
    <t>TI1003</t>
  </si>
  <si>
    <t>TRBE ERROR REPORT</t>
  </si>
  <si>
    <t>TI1004</t>
  </si>
  <si>
    <t>TI1009</t>
  </si>
  <si>
    <t>TI1021</t>
  </si>
  <si>
    <t>Program Obsolete as Reports are not needed anymore</t>
  </si>
  <si>
    <t>TR001</t>
  </si>
  <si>
    <t>TIME RECORD EXTRACT</t>
  </si>
  <si>
    <t>TR003</t>
  </si>
  <si>
    <t>ALLOWED TIME (ACTUAL TIME)</t>
  </si>
  <si>
    <t>TR003C</t>
  </si>
  <si>
    <t>ACTUAL TIME SICK LEAVE BANK MAINT</t>
  </si>
  <si>
    <t>TR004</t>
  </si>
  <si>
    <t>EARNINGS PROOF</t>
  </si>
  <si>
    <t>TR005</t>
  </si>
  <si>
    <t>DEVIATIONS</t>
  </si>
  <si>
    <t>UPDATE OT BANKS</t>
  </si>
  <si>
    <t>TR009</t>
  </si>
  <si>
    <t>HR/TRIS INTERFACE</t>
  </si>
  <si>
    <t>JOBS TABLE BATCH MAINTENANCE</t>
  </si>
  <si>
    <t>TR015</t>
  </si>
  <si>
    <t>ASSOCIATION TABLE MAINTENANCE</t>
  </si>
  <si>
    <t>TR017</t>
  </si>
  <si>
    <t>TR018</t>
  </si>
  <si>
    <t>TR021</t>
  </si>
  <si>
    <t>ALLOWED TIME (ADJUSTMENTS)</t>
  </si>
  <si>
    <t>TR021C</t>
  </si>
  <si>
    <t>CIPS SICK LEAVE ADJUSTMENT PROCESS</t>
  </si>
  <si>
    <t>TR026</t>
  </si>
  <si>
    <t>SPLIT EXCEPTION CODES ALLOWED TIME</t>
  </si>
  <si>
    <t>OVERTIME CANVASS REPORT</t>
  </si>
  <si>
    <t>TR029</t>
  </si>
  <si>
    <t>REPORT OF ADJUSTMENTS</t>
  </si>
  <si>
    <t>TR033</t>
  </si>
  <si>
    <t>LOCK/UNLOCK DEPARTMENTS</t>
  </si>
  <si>
    <t>TR037</t>
  </si>
  <si>
    <t>UPDATE PROCESSED IND ACT/ADJ REQ</t>
  </si>
  <si>
    <t>TR039</t>
  </si>
  <si>
    <t>MISSING TIME REPORT</t>
  </si>
  <si>
    <t>TR041</t>
  </si>
  <si>
    <t>YTD SICK LEAVE SUMMARY BY BUDGET</t>
  </si>
  <si>
    <t>TR042</t>
  </si>
  <si>
    <t>CIPS LOCAL 702 SICK LEAVE REPORT</t>
  </si>
  <si>
    <t>CIPS 702 SICK LEAVE YTD REPORT</t>
  </si>
  <si>
    <t>TR044</t>
  </si>
  <si>
    <t>REASSIGN EXECUTIVE OT CODES</t>
  </si>
  <si>
    <t>TR048</t>
  </si>
  <si>
    <t>MANAGEMENT PART-TIME/TEMP HOURS</t>
  </si>
  <si>
    <t>TR049</t>
  </si>
  <si>
    <t>SICK LEAVE BY UNION NO INJ OR MAT</t>
  </si>
  <si>
    <t>TR050</t>
  </si>
  <si>
    <t>SICK LEAVE FILE FILL - ADJ PROCESG</t>
  </si>
  <si>
    <t>TR051</t>
  </si>
  <si>
    <t>CREATE INITIAL ALLOWED TIME REC</t>
  </si>
  <si>
    <t>TR052</t>
  </si>
  <si>
    <t>SPLIT EXTRACT FILE FOR SICK LEAVE</t>
  </si>
  <si>
    <t>STORES OT REPORT</t>
  </si>
  <si>
    <t>TR058</t>
  </si>
  <si>
    <t>YTD SICK LEAVE SUMMARY REPORT</t>
  </si>
  <si>
    <t>TR060</t>
  </si>
  <si>
    <t>PAYSHEET PREP.</t>
  </si>
  <si>
    <t>TR061</t>
  </si>
  <si>
    <t>TR070</t>
  </si>
  <si>
    <t>ANNUAL SUMMARY BY SYMBOL REPORT</t>
  </si>
  <si>
    <t>TR071</t>
  </si>
  <si>
    <t>ANNUAL SUMMARY LEAVE AND PERSONAL</t>
  </si>
  <si>
    <t>TR072</t>
  </si>
  <si>
    <t>ANNUAL ROUGH SMOOTH RELIEF REPORT</t>
  </si>
  <si>
    <t>TR074</t>
  </si>
  <si>
    <t>ANNUAL VACATION SUMMARY REPORT</t>
  </si>
  <si>
    <t>TR077</t>
  </si>
  <si>
    <t>SICK LEAVE DETAIL REPORT</t>
  </si>
  <si>
    <t>TR078</t>
  </si>
  <si>
    <t>ABSENCE EXCEPTION REPORT</t>
  </si>
  <si>
    <t>TR081</t>
  </si>
  <si>
    <t>SENIORITY REPORT</t>
  </si>
  <si>
    <t>TR083</t>
  </si>
  <si>
    <t>LOCAL UNION SENIORITY REPORT</t>
  </si>
  <si>
    <t>TR085</t>
  </si>
  <si>
    <t>ASSOCIATIONS TABLE DATA ISSUES</t>
  </si>
  <si>
    <t>TR086</t>
  </si>
  <si>
    <t>LEFT SERVICE WORK GROUP ARCHIVE</t>
  </si>
  <si>
    <t>MANAGEMENT OVERTIME REPORT</t>
  </si>
  <si>
    <t>TR090</t>
  </si>
  <si>
    <t>EMPLOYEE NUMBER SENIORITY LIST</t>
  </si>
  <si>
    <t>TR091</t>
  </si>
  <si>
    <t>LOCAL 148 SENIORITY LIST REPORT A</t>
  </si>
  <si>
    <t>TR092</t>
  </si>
  <si>
    <t>LOCAL 148 SENIORITY LIST REPORT B</t>
  </si>
  <si>
    <t>TR093</t>
  </si>
  <si>
    <t>LOCAL 148 CALLAWAY VACATION SELECT</t>
  </si>
  <si>
    <t>TR094</t>
  </si>
  <si>
    <t>LOCAL 1455 SENIORITY LIST REPORT A</t>
  </si>
  <si>
    <t>TR095</t>
  </si>
  <si>
    <t>LOCAL 1439 SENIORITY LIST REPORT B</t>
  </si>
  <si>
    <t>TR096</t>
  </si>
  <si>
    <t>LOCAL 309 SENIORITY LIST REPORT C</t>
  </si>
  <si>
    <t>TR097</t>
  </si>
  <si>
    <t>LOCAL 649 SENIORITY LIST REPORT D</t>
  </si>
  <si>
    <t>TR098</t>
  </si>
  <si>
    <t>EMPLOYEES FOR SICK LEAVE REVIEW</t>
  </si>
  <si>
    <t>TR099</t>
  </si>
  <si>
    <t>YTD SICK LEAVE HOURS BY UNION</t>
  </si>
  <si>
    <t>TR103</t>
  </si>
  <si>
    <t>MANAGEMENT PARTIAL DAY ABSENCE</t>
  </si>
  <si>
    <t>TR104</t>
  </si>
  <si>
    <t>CERTIFY SICK LEAVE</t>
  </si>
  <si>
    <t>TR105</t>
  </si>
  <si>
    <t>LOAD SL DETAIL AND BANKS WORK TBLS</t>
  </si>
  <si>
    <t>TR106</t>
  </si>
  <si>
    <t>PROCESS SICK LEAVE</t>
  </si>
  <si>
    <t>TR107</t>
  </si>
  <si>
    <t>UPDATE SL DTL AND BNKS FROM WORK</t>
  </si>
  <si>
    <t>TR108</t>
  </si>
  <si>
    <t>SICK LEAVE MESSAGES REPORT</t>
  </si>
  <si>
    <t>TR109</t>
  </si>
  <si>
    <t>UPDATE SICK BANKS WORK TABLE</t>
  </si>
  <si>
    <t>TR110</t>
  </si>
  <si>
    <t>SELECT FROM EMPLOYEE BANKS TABLE</t>
  </si>
  <si>
    <t>TR111</t>
  </si>
  <si>
    <t>TEMPORARY REFERRAL WORKERS HRS RPT</t>
  </si>
  <si>
    <t>ANNUAL VACATION DETERMINATION</t>
  </si>
  <si>
    <t>ANNUAL VACATION CARRY OVER</t>
  </si>
  <si>
    <t>TR115</t>
  </si>
  <si>
    <t>UPDATE FMLA SICK LEAVE UE CONTRACT</t>
  </si>
  <si>
    <t>TR117</t>
  </si>
  <si>
    <t>CIPS LOCAL 702 PRIOR YEAR FMLA</t>
  </si>
  <si>
    <t>TR121</t>
  </si>
  <si>
    <t>E&amp;C ACTUAL PROJECT HOURS REPORT</t>
  </si>
  <si>
    <t>TR122</t>
  </si>
  <si>
    <t>E&amp;C NON PROJECT ACTUAL HOURS</t>
  </si>
  <si>
    <t>TR125</t>
  </si>
  <si>
    <t>OT ADJUSTMENT REPORT</t>
  </si>
  <si>
    <t>TR126</t>
  </si>
  <si>
    <t>TR127</t>
  </si>
  <si>
    <t>TR128</t>
  </si>
  <si>
    <t>MGMT SICK LEAVE BALANCE REPORT</t>
  </si>
  <si>
    <t>TR129</t>
  </si>
  <si>
    <t>TR130</t>
  </si>
  <si>
    <t>QUARTERLY ABSENCE REPORT</t>
  </si>
  <si>
    <t>TR131</t>
  </si>
  <si>
    <t>SICK LEAVE EXTENDED ILLNESS MSG</t>
  </si>
  <si>
    <t>TR132</t>
  </si>
  <si>
    <t>YEARLY ABSENCE REPORT 33814</t>
  </si>
  <si>
    <t>TR133</t>
  </si>
  <si>
    <t xml:space="preserve">VACATION SUMMARY REPORT </t>
  </si>
  <si>
    <t>TR134</t>
  </si>
  <si>
    <t>LOCAL 148 12 SHIFT CERTIFY SICKLV</t>
  </si>
  <si>
    <t>TR135</t>
  </si>
  <si>
    <t>INSERT ALLOWED TIME DETAILS</t>
  </si>
  <si>
    <t>TR136</t>
  </si>
  <si>
    <t>RELIEF HOURS TABLE INSERT/DELETE</t>
  </si>
  <si>
    <t>TR137</t>
  </si>
  <si>
    <t>HOURS OF RELIEF 33705 AND 33712</t>
  </si>
  <si>
    <t>TR139</t>
  </si>
  <si>
    <t>EMPLOYEES FOR SICK LEAVE REVIEW USING AVERAGE</t>
  </si>
  <si>
    <t>TR140</t>
  </si>
  <si>
    <t>TI4061</t>
  </si>
  <si>
    <t>Sub Program</t>
  </si>
  <si>
    <t>TI4062</t>
  </si>
  <si>
    <t>TI4067</t>
  </si>
  <si>
    <t>TI4086</t>
  </si>
  <si>
    <t>TI4164</t>
  </si>
  <si>
    <t>TI4068</t>
  </si>
  <si>
    <t>TI4033</t>
  </si>
  <si>
    <t>TI4088</t>
  </si>
  <si>
    <t>TI4132</t>
  </si>
  <si>
    <t>TI4212</t>
  </si>
  <si>
    <t>TI4233</t>
  </si>
  <si>
    <t>TI4016</t>
  </si>
  <si>
    <t>TI4021</t>
  </si>
  <si>
    <t>TI4022</t>
  </si>
  <si>
    <t>TI4023</t>
  </si>
  <si>
    <t>TI4024</t>
  </si>
  <si>
    <t>TI4040</t>
  </si>
  <si>
    <t>TI4042</t>
  </si>
  <si>
    <t>TI4008</t>
  </si>
  <si>
    <t>TI4083</t>
  </si>
  <si>
    <t>TI4009</t>
  </si>
  <si>
    <t>TI4027</t>
  </si>
  <si>
    <t>TI4103</t>
  </si>
  <si>
    <t>TI4005</t>
  </si>
  <si>
    <t>TI4035</t>
  </si>
  <si>
    <t>TI4091</t>
  </si>
  <si>
    <t>TI4092</t>
  </si>
  <si>
    <t>TI4136</t>
  </si>
  <si>
    <t>TI4141</t>
  </si>
  <si>
    <t>TI4169</t>
  </si>
  <si>
    <t>TI4039</t>
  </si>
  <si>
    <t>TI4045</t>
  </si>
  <si>
    <t>TI4052</t>
  </si>
  <si>
    <t>TI4140</t>
  </si>
  <si>
    <t>TI4087</t>
  </si>
  <si>
    <t>TI4093</t>
  </si>
  <si>
    <t>TI4017</t>
  </si>
  <si>
    <t>TI4002</t>
  </si>
  <si>
    <t>TI4034</t>
  </si>
  <si>
    <t>TI4102</t>
  </si>
  <si>
    <t>TI4152</t>
  </si>
  <si>
    <t>TI4149</t>
  </si>
  <si>
    <t>TI4037</t>
  </si>
  <si>
    <t>TI4150</t>
  </si>
  <si>
    <t>TI4153</t>
  </si>
  <si>
    <t>TI4165</t>
  </si>
  <si>
    <t>TI4225</t>
  </si>
  <si>
    <t>TI4227</t>
  </si>
  <si>
    <t>TI4161</t>
  </si>
  <si>
    <t>TI4168</t>
  </si>
  <si>
    <t>TI4170</t>
  </si>
  <si>
    <t>TI4286</t>
  </si>
  <si>
    <t>TI4287</t>
  </si>
  <si>
    <t>TI4288</t>
  </si>
  <si>
    <t>TI4289</t>
  </si>
  <si>
    <t>TI4298</t>
  </si>
  <si>
    <t>TI4095</t>
  </si>
  <si>
    <t>TI4299</t>
  </si>
  <si>
    <t>TI4300</t>
  </si>
  <si>
    <t>TI4063</t>
  </si>
  <si>
    <t>TI4315</t>
  </si>
  <si>
    <t>TI4314</t>
  </si>
  <si>
    <t>TI4370</t>
  </si>
  <si>
    <t>TI4371</t>
  </si>
  <si>
    <t>TI4254</t>
  </si>
  <si>
    <t>TI4374</t>
  </si>
  <si>
    <t>TI4375</t>
  </si>
  <si>
    <t>TI4369</t>
  </si>
  <si>
    <t>TI4376</t>
  </si>
  <si>
    <t>TI4176</t>
  </si>
  <si>
    <t>TI4230</t>
  </si>
  <si>
    <t>TI4372</t>
  </si>
  <si>
    <t>TI4373</t>
  </si>
  <si>
    <t>TR401C</t>
  </si>
  <si>
    <t>TR410</t>
  </si>
  <si>
    <t>TR411</t>
  </si>
  <si>
    <t>TR412</t>
  </si>
  <si>
    <t>TR415</t>
  </si>
  <si>
    <t>TR416</t>
  </si>
  <si>
    <t>TR418</t>
  </si>
  <si>
    <t>TR420</t>
  </si>
  <si>
    <t>TR421</t>
  </si>
  <si>
    <t>TR422</t>
  </si>
  <si>
    <t>TR423</t>
  </si>
  <si>
    <t>TR428</t>
  </si>
  <si>
    <t>TT4004</t>
  </si>
  <si>
    <t>TT4005</t>
  </si>
  <si>
    <t>TT4026</t>
  </si>
  <si>
    <t>TT4041</t>
  </si>
  <si>
    <t>TT4045</t>
  </si>
  <si>
    <t>TT4050</t>
  </si>
  <si>
    <t>TT4056</t>
  </si>
  <si>
    <t>TT4083</t>
  </si>
  <si>
    <t>TT7210</t>
  </si>
  <si>
    <t>Job Description</t>
  </si>
  <si>
    <t>Category</t>
  </si>
  <si>
    <t>Daily-Weekly</t>
  </si>
  <si>
    <t>This Sheet Contains the List of All Mainframe Batch JOBs in scope.</t>
  </si>
  <si>
    <t>Contract Sick Leave</t>
  </si>
  <si>
    <t xml:space="preserve">TR33000  </t>
  </si>
  <si>
    <t>Recalculate Sick Leave balance</t>
  </si>
  <si>
    <t>TR33107N</t>
  </si>
  <si>
    <t>TR33102N</t>
  </si>
  <si>
    <t>Overtime Equalization</t>
  </si>
  <si>
    <t>Stored Proc</t>
  </si>
  <si>
    <t>TR33117</t>
  </si>
  <si>
    <t>Weekly WG Schedule</t>
  </si>
  <si>
    <t>TR33118</t>
  </si>
  <si>
    <t>Employee Schedule (TTR_JCL -- INSERTS GOOD)</t>
  </si>
  <si>
    <t xml:space="preserve">ERPCS_RN_MuleProjectCostsTRISToOracleTrigger_HTTP
</t>
  </si>
  <si>
    <t>Oracle OTTC</t>
  </si>
  <si>
    <t xml:space="preserve">ERPCS_RN_MuleMonthEndTRISLaborAcctToPDTrigger_HTTP
</t>
  </si>
  <si>
    <t xml:space="preserve">ERPCS_RN_MuleProjecTaskOraclePublishOutboundTrigger_HTTP
</t>
  </si>
  <si>
    <t xml:space="preserve">WRKM_RN_MuleTrisAccountingHttp
</t>
  </si>
  <si>
    <t>WAM</t>
  </si>
  <si>
    <t>WRKM_RN_MuleTrisLaborhoursHttp</t>
  </si>
  <si>
    <t>Job description</t>
  </si>
  <si>
    <t>Job Schedule</t>
  </si>
  <si>
    <t xml:space="preserve">Job Dependency </t>
  </si>
  <si>
    <t>Comments</t>
  </si>
  <si>
    <t>Parallel PGM  Execution Possible?</t>
  </si>
  <si>
    <t>Dependency Type</t>
  </si>
  <si>
    <t>Load HR data</t>
  </si>
  <si>
    <t>Daily &amp; Sunday</t>
  </si>
  <si>
    <t xml:space="preserve">Run before- DB12287 &amp; DB12005N .                                   </t>
  </si>
  <si>
    <t xml:space="preserve">Feeds Files to DB12287 and DB12005 for DB load . So Should run before that </t>
  </si>
  <si>
    <t xml:space="preserve">Feeds Files to DB12287 and DB12005 . So Should run before that </t>
  </si>
  <si>
    <t xml:space="preserve">Load Common Employee table </t>
  </si>
  <si>
    <t>Run after AR13999</t>
  </si>
  <si>
    <t xml:space="preserve">Receives  Files from  AR13999 for DB load . So Should run after that </t>
  </si>
  <si>
    <t>Load OAS Employee table</t>
  </si>
  <si>
    <t>Daily &amp;  Sunday &amp; during (TR33200- Contract Final-Every Alternate Tuesday)&amp; (TR33201-Executive Final -Monthly twice (7th and 21st mostly) on demand)</t>
  </si>
  <si>
    <t>Run Before TR33201 and TR33200 on days when they are executed .</t>
  </si>
  <si>
    <t>Does some DB load. The tables are used in both the jobs .</t>
  </si>
  <si>
    <t xml:space="preserve">Run Before TR33107 </t>
  </si>
  <si>
    <t xml:space="preserve">Feeds Files to TR33107 . So Should run before that </t>
  </si>
  <si>
    <t xml:space="preserve">Contract Final-Every Alternate Tuesday </t>
  </si>
  <si>
    <t>Run After TR33200</t>
  </si>
  <si>
    <t xml:space="preserve">Receives  Files from  TR33200  . So Should run after that </t>
  </si>
  <si>
    <t>Executive Final -Monthly twice (7th and 21st mostly) on demand</t>
  </si>
  <si>
    <t>Run After TR33201</t>
  </si>
  <si>
    <t xml:space="preserve">Receives  Files from  TR33201  . So Should run after that </t>
  </si>
  <si>
    <t xml:space="preserve">Maintains the TTR_JOBS table (TR014)   </t>
  </si>
  <si>
    <t>Daily(01:00 AM) &amp; Sunday(9:00 AM)</t>
  </si>
  <si>
    <t>Starting Job</t>
  </si>
  <si>
    <t xml:space="preserve">Maintains the TTR_ASSOCIATIONS table (TR015)    </t>
  </si>
  <si>
    <t>Run After TR33106 and AR13872</t>
  </si>
  <si>
    <t>No file Dependency on TR33106 . Only on AR13872</t>
  </si>
  <si>
    <t>No</t>
  </si>
  <si>
    <t xml:space="preserve">DB2 Table </t>
  </si>
  <si>
    <t xml:space="preserve">HR/TRIS interface employee update (TR009 &amp; TR129)   </t>
  </si>
  <si>
    <t>Run After TR33107</t>
  </si>
  <si>
    <t>No file Dependency on TR33107</t>
  </si>
  <si>
    <t xml:space="preserve">Seniority accrual -- Adds one day of seniority (TI0510) </t>
  </si>
  <si>
    <t>Run After TR33102</t>
  </si>
  <si>
    <t>No file Dependency on TR33102</t>
  </si>
  <si>
    <t xml:space="preserve"> Auto Builds scheduled exception (Holiday, Vacation) time for employees in variable departments and all time for employees in fixed &amp; exception based departments.  </t>
  </si>
  <si>
    <t>Run After TR33136</t>
  </si>
  <si>
    <t>No file Dependency on TR33136
(Pending Jim's final review)</t>
  </si>
  <si>
    <t xml:space="preserve">DB2 Table and File </t>
  </si>
  <si>
    <t xml:space="preserve">Contract Daily Job </t>
  </si>
  <si>
    <t xml:space="preserve">Daily except Sunday </t>
  </si>
  <si>
    <t xml:space="preserve">Run After TR33103 on Monday and Tuesday . After TR33115 on other days </t>
  </si>
  <si>
    <r>
      <rPr>
        <sz val="11"/>
        <color rgb="FF000000"/>
        <rFont val="Calibri"/>
        <scheme val="minor"/>
      </rPr>
      <t xml:space="preserve">                                                                                                        </t>
    </r>
    <r>
      <rPr>
        <b/>
        <sz val="11"/>
        <color rgb="FF000000"/>
        <rFont val="Calibri"/>
        <scheme val="minor"/>
      </rPr>
      <t xml:space="preserve">Group 1 (Must Execute First):
</t>
    </r>
    <r>
      <rPr>
        <sz val="11"/>
        <color rgb="FF000000"/>
        <rFont val="Calibri"/>
        <scheme val="minor"/>
      </rPr>
      <t xml:space="preserve">Step 1: TR001 (Extract Actual Time and Adjustments)
                                                                                                                 </t>
    </r>
    <r>
      <rPr>
        <b/>
        <sz val="11"/>
        <color rgb="FF000000"/>
        <rFont val="Calibri"/>
        <scheme val="minor"/>
      </rPr>
      <t>Group 2 (Depends on Group 1 for File ):</t>
    </r>
    <r>
      <rPr>
        <b/>
        <sz val="11"/>
        <color rgb="FF00B050"/>
        <rFont val="Calibri"/>
        <scheme val="minor"/>
      </rPr>
      <t xml:space="preserve">No Table Contention so can run parallel
</t>
    </r>
    <r>
      <rPr>
        <sz val="11"/>
        <color rgb="FF000000"/>
        <rFont val="Calibri"/>
        <scheme val="minor"/>
      </rPr>
      <t xml:space="preserve">Step 2: TR051 (Allowed Time Records)
Step 3: TR052 (Split Extract File)
                                                                                                                     </t>
    </r>
    <r>
      <rPr>
        <b/>
        <sz val="11"/>
        <color rgb="FF000000"/>
        <rFont val="Calibri"/>
        <scheme val="minor"/>
      </rPr>
      <t xml:space="preserve">Group 3 (UE Processing - Depends on Group 2 TR052 for files ): </t>
    </r>
    <r>
      <rPr>
        <sz val="11"/>
        <color rgb="FFFF0000"/>
        <rFont val="Calibri"/>
        <scheme val="minor"/>
      </rPr>
      <t xml:space="preserve">FIle Dependency exists across the 3 steps so cant run parallel( i.e. TR050 depends on output from both TR052 and TR003
TR021 depends on output from TR052, TR003, and TR050) 
</t>
    </r>
    <r>
      <rPr>
        <sz val="11"/>
        <color rgb="FF000000"/>
        <rFont val="Calibri"/>
        <scheme val="minor"/>
      </rPr>
      <t xml:space="preserve">Step 4: TR003 (UE Allowed Time Processing)
Step 5: TR050 (Create UE Sick Leave Detail)
Step 6: TR021 (UE Adjustment Processing)
</t>
    </r>
    <r>
      <rPr>
        <b/>
        <sz val="11"/>
        <color rgb="FF000000"/>
        <rFont val="Calibri"/>
        <scheme val="minor"/>
      </rPr>
      <t xml:space="preserve">                                                                                                                   Group 4 (CIPS Processing - Depends on Group 2 TR052 Files ):</t>
    </r>
    <r>
      <rPr>
        <b/>
        <sz val="11"/>
        <color rgb="FFFF0000"/>
        <rFont val="Calibri"/>
        <scheme val="minor"/>
      </rPr>
      <t xml:space="preserve">FIle Dependency exists across the 3 steps so cant run parallel( i.e. TR050C depends on output from both TR052 and TR003C
TR021C depends on output from TR052, TR003C, and TR050C) 
</t>
    </r>
    <r>
      <rPr>
        <sz val="11"/>
        <color rgb="FF000000"/>
        <rFont val="Calibri"/>
        <scheme val="minor"/>
      </rPr>
      <t xml:space="preserve">Step 7: TR003C (CIPS Allowed Time Processing)
Step 8: TR050C (Create CIPS Sick Leave Detail)
Step 9: TR021C (CIPS Adjustment Processing)
                                                                                                                    </t>
    </r>
    <r>
      <rPr>
        <b/>
        <sz val="11"/>
        <color rgb="FF000000"/>
        <rFont val="Calibri"/>
        <scheme val="minor"/>
      </rPr>
      <t xml:space="preserve">Group 5 (Sick Leave Processing - Depends on Group 2-TR106 uses file from TR052 ): </t>
    </r>
    <r>
      <rPr>
        <b/>
        <sz val="11"/>
        <color rgb="FFFF0000"/>
        <rFont val="Calibri"/>
        <scheme val="minor"/>
      </rPr>
      <t xml:space="preserve">TR105 Does some INSERT/DELETE operations on tables which are consumed by TR106 so cant run in parallel. Also TR108 has File Dependency on TR106 to generate report 
</t>
    </r>
    <r>
      <rPr>
        <sz val="11"/>
        <color rgb="FF000000"/>
        <rFont val="Calibri"/>
        <scheme val="minor"/>
      </rPr>
      <t xml:space="preserve">Step 10: UT133B (Sort Extract File)
Step 11: TR105 (Load Sick Leave Detail)
Step 12: TR106 (Process Sick Leave)
Step 13: UT133C &amp; TR108 (Sort &amp; Report Sick Leave Messages)
                                                                                                                    </t>
    </r>
    <r>
      <rPr>
        <b/>
        <sz val="11"/>
        <color rgb="FF000000"/>
        <rFont val="Calibri"/>
        <scheme val="minor"/>
      </rPr>
      <t xml:space="preserve">Group 6 (Final Processing - Depends on Groups 3, 4, 5): </t>
    </r>
    <r>
      <rPr>
        <b/>
        <sz val="11"/>
        <color rgb="FF00B050"/>
        <rFont val="Calibri"/>
        <scheme val="minor"/>
      </rPr>
      <t xml:space="preserve">TR004 needs to run first as it creates input file for TR005 ..TR005,TR077 &amp; TR029 can run in parallel as there is no file dependency and no Table Updates ..All 3 just perform read operations 
</t>
    </r>
    <r>
      <rPr>
        <sz val="11"/>
        <color rgb="FF000000"/>
        <rFont val="Calibri"/>
        <scheme val="minor"/>
      </rPr>
      <t>Step 14: UT041A (Combine Extract Files)
Step 15: TR004
Step 16: TR005
Step 17: TR077 (Sick Leave Detail Report)
Step 18: TR029
Final DB2 Update (SPUFI01)</t>
    </r>
  </si>
  <si>
    <t xml:space="preserve">Partially Yes -                          TR051 and   TR052 can run in parallel in Group 2                                          In Group 6,TR077,TR005 and TR029 </t>
  </si>
  <si>
    <t xml:space="preserve">Contract Preliminary Job
Contract Preliminary Job on Request      </t>
  </si>
  <si>
    <t>Mon,Tue</t>
  </si>
  <si>
    <t xml:space="preserve">Run after TR33115 on Mondays and Tuesdays </t>
  </si>
  <si>
    <r>
      <rPr>
        <sz val="11"/>
        <color rgb="FF000000"/>
        <rFont val="Calibri"/>
        <scheme val="minor"/>
      </rPr>
      <t xml:space="preserve">Groupings for TR33103:
Group 1 (Must Execute First)
Step 1: TR033 (Lock Departments on Last Prelim Run)
Step 2: TR001 (Extract Actual Time and Adjustments)
</t>
    </r>
    <r>
      <rPr>
        <b/>
        <sz val="11"/>
        <color rgb="FF000000"/>
        <rFont val="Calibri"/>
        <scheme val="minor"/>
      </rPr>
      <t>Parallel Program Run</t>
    </r>
    <r>
      <rPr>
        <sz val="11"/>
        <color rgb="FF000000"/>
        <rFont val="Calibri"/>
        <scheme val="minor"/>
      </rPr>
      <t xml:space="preserve">: </t>
    </r>
    <r>
      <rPr>
        <b/>
        <sz val="11"/>
        <color rgb="FFFF0000"/>
        <rFont val="Calibri"/>
        <scheme val="minor"/>
      </rPr>
      <t xml:space="preserve">Table Dependencies exists, so need to run sequentially
</t>
    </r>
    <r>
      <rPr>
        <sz val="11"/>
        <color rgb="FF000000"/>
        <rFont val="Calibri"/>
        <scheme val="minor"/>
      </rPr>
      <t xml:space="preserve">
</t>
    </r>
    <r>
      <rPr>
        <b/>
        <sz val="11"/>
        <color rgb="FF000000"/>
        <rFont val="Calibri"/>
        <scheme val="minor"/>
      </rPr>
      <t xml:space="preserve">Group 2 (Depends on Group 1 for Files)
</t>
    </r>
    <r>
      <rPr>
        <sz val="11"/>
        <color rgb="FF000000"/>
        <rFont val="Calibri"/>
        <scheme val="minor"/>
      </rPr>
      <t xml:space="preserve">Step 3: UT133A (Sort Extract File for Missing Time)
Step 4: TR039 (Missing Time Report)
Step 5: TR051 (Allowed Time Records)
Step 6: TR052 (Split Sick Leave Extract File)
</t>
    </r>
    <r>
      <rPr>
        <b/>
        <sz val="11"/>
        <color rgb="FF000000"/>
        <rFont val="Calibri"/>
        <scheme val="minor"/>
      </rPr>
      <t>Parallel Program Run</t>
    </r>
    <r>
      <rPr>
        <sz val="11"/>
        <color rgb="FF000000"/>
        <rFont val="Calibri"/>
        <scheme val="minor"/>
      </rPr>
      <t xml:space="preserve">: </t>
    </r>
    <r>
      <rPr>
        <b/>
        <sz val="11"/>
        <color rgb="FF00B050"/>
        <rFont val="Calibri"/>
        <scheme val="minor"/>
      </rPr>
      <t xml:space="preserve">These steps all depend on the initial extract files from TR001. Within them, TR052 can run in parallel with TR039 &amp; TR051 separately, but the other 2 cannot.
</t>
    </r>
    <r>
      <rPr>
        <sz val="11"/>
        <color rgb="FF000000"/>
        <rFont val="Calibri"/>
        <scheme val="minor"/>
      </rPr>
      <t xml:space="preserve">
</t>
    </r>
    <r>
      <rPr>
        <b/>
        <sz val="11"/>
        <color rgb="FF000000"/>
        <rFont val="Calibri"/>
        <scheme val="minor"/>
      </rPr>
      <t xml:space="preserve">Group 3 (UE Processing - Depends on Group 2 TR052 for files)
</t>
    </r>
    <r>
      <rPr>
        <sz val="11"/>
        <color rgb="FF000000"/>
        <rFont val="Calibri"/>
        <scheme val="minor"/>
      </rPr>
      <t xml:space="preserve">Step 7: TR003 (UE Allowed Time Processing)
Step 8: TR050 (Create UE Sick Leave Detail)
Step 9: TR021 (UE Adjustment Processing)
</t>
    </r>
    <r>
      <rPr>
        <b/>
        <sz val="11"/>
        <color rgb="FF000000"/>
        <rFont val="Calibri"/>
        <scheme val="minor"/>
      </rPr>
      <t>Parallel Program Run</t>
    </r>
    <r>
      <rPr>
        <sz val="11"/>
        <color rgb="FF000000"/>
        <rFont val="Calibri"/>
        <scheme val="minor"/>
      </rPr>
      <t xml:space="preserve">: </t>
    </r>
    <r>
      <rPr>
        <b/>
        <sz val="11"/>
        <color rgb="FFFF0000"/>
        <rFont val="Calibri"/>
        <scheme val="minor"/>
      </rPr>
      <t xml:space="preserve">These steps must run sequentially as TR050 depends on output from TR003, and TR021 depends on outputs from both TR003 and TR050.
</t>
    </r>
    <r>
      <rPr>
        <sz val="11"/>
        <color rgb="FF000000"/>
        <rFont val="Calibri"/>
        <scheme val="minor"/>
      </rPr>
      <t xml:space="preserve">
</t>
    </r>
    <r>
      <rPr>
        <b/>
        <sz val="11"/>
        <color rgb="FF000000"/>
        <rFont val="Calibri"/>
        <scheme val="minor"/>
      </rPr>
      <t xml:space="preserve">Group 4 (CIPS Processing - Depends on Group 2 TR052 for files)
</t>
    </r>
    <r>
      <rPr>
        <sz val="11"/>
        <color rgb="FF000000"/>
        <rFont val="Calibri"/>
        <scheme val="minor"/>
      </rPr>
      <t xml:space="preserve">Step 10: TR117 (CIPS Local 702 Check Previous Year FMLA)
Step 11: TR003C (CIPS Allowed Time Processing)
Step 12: TR050C (Create CIPS Sick Leave Detail)
Step 13: TR021C (CIPS Adjustment Processing)
</t>
    </r>
    <r>
      <rPr>
        <b/>
        <sz val="11"/>
        <color rgb="FF000000"/>
        <rFont val="Calibri"/>
        <scheme val="minor"/>
      </rPr>
      <t>Parallel Program Run</t>
    </r>
    <r>
      <rPr>
        <sz val="11"/>
        <color rgb="FF000000"/>
        <rFont val="Calibri"/>
        <scheme val="minor"/>
      </rPr>
      <t>:</t>
    </r>
    <r>
      <rPr>
        <sz val="11"/>
        <color rgb="FFFF0000"/>
        <rFont val="Calibri"/>
        <scheme val="minor"/>
      </rPr>
      <t xml:space="preserve"> </t>
    </r>
    <r>
      <rPr>
        <b/>
        <sz val="11"/>
        <color rgb="FFFF0000"/>
        <rFont val="Calibri"/>
        <scheme val="minor"/>
      </rPr>
      <t xml:space="preserve">Similar to Group 3, these steps have sequential dependencies within the group, with TR050C depending on TR003C and TR021C depending on both. Also TR117 has Table/Data integrity issues with TR003C on Parallel execution
</t>
    </r>
    <r>
      <rPr>
        <sz val="11"/>
        <color rgb="FF000000"/>
        <rFont val="Calibri"/>
        <scheme val="minor"/>
      </rPr>
      <t xml:space="preserve">
</t>
    </r>
    <r>
      <rPr>
        <b/>
        <sz val="11"/>
        <color rgb="FF000000"/>
        <rFont val="Calibri"/>
        <scheme val="minor"/>
      </rPr>
      <t xml:space="preserve">Group 5 (Sick Leave Processing - Depends on Group 2)
</t>
    </r>
    <r>
      <rPr>
        <sz val="11"/>
        <color rgb="FF000000"/>
        <rFont val="Calibri"/>
        <scheme val="minor"/>
      </rPr>
      <t xml:space="preserve">Step 14: TR104 (Sick Leave Certification)
Step 15: TR115 (Sick Leave FMLA Updates)
Step 16: UT133B (Sort Extract File for TR105)
Step 17: TR105 (Load Sick Leave Detail and Banks Work Tables)
Step 18: TR106 (Process Sick Leave)
Step 19-20: UT133C &amp; TR108 (Sort &amp; Report Sick Leave Messages)
</t>
    </r>
    <r>
      <rPr>
        <b/>
        <sz val="11"/>
        <color rgb="FF000000"/>
        <rFont val="Calibri"/>
        <scheme val="minor"/>
      </rPr>
      <t>Parallel Program Run</t>
    </r>
    <r>
      <rPr>
        <sz val="11"/>
        <color rgb="FF000000"/>
        <rFont val="Calibri"/>
        <scheme val="minor"/>
      </rPr>
      <t xml:space="preserve">: </t>
    </r>
    <r>
      <rPr>
        <b/>
        <sz val="11"/>
        <color rgb="FFFF0000"/>
        <rFont val="Calibri"/>
        <scheme val="minor"/>
      </rPr>
      <t>TR105 performs table operations needed by TR106, and TR108 depends on the output from TR106, requiring sequential execution within this group. TR104 and TR115 have table contention/Integrity issues due to UDPATE transactions performed. Also TR105 reads some of the tables TR115 updates. So none of these Programs in this group can run in parallel</t>
    </r>
    <r>
      <rPr>
        <sz val="11"/>
        <color rgb="FFFF0000"/>
        <rFont val="Calibri"/>
        <scheme val="minor"/>
      </rPr>
      <t xml:space="preserve">.
</t>
    </r>
    <r>
      <rPr>
        <sz val="11"/>
        <color rgb="FF000000"/>
        <rFont val="Calibri"/>
        <scheme val="minor"/>
      </rPr>
      <t xml:space="preserve">
</t>
    </r>
    <r>
      <rPr>
        <b/>
        <sz val="11"/>
        <color rgb="FF000000"/>
        <rFont val="Calibri"/>
        <scheme val="minor"/>
      </rPr>
      <t xml:space="preserve">Group 6 (Final Processing - Depends on Groups 3, 4, 5)
</t>
    </r>
    <r>
      <rPr>
        <sz val="11"/>
        <color rgb="FF000000"/>
        <rFont val="Calibri"/>
        <scheme val="minor"/>
      </rPr>
      <t xml:space="preserve">Step 21: UT041A (Combine Extract Files)
Step 22: TR004 (Creates input for TR005)
Steps 23-25: These can run in parallel:
TR005 (Deviation Reports)
TR077 (Sick Leave Detail Report)
TR029 (Final Report)
</t>
    </r>
    <r>
      <rPr>
        <b/>
        <sz val="11"/>
        <color rgb="FF000000"/>
        <rFont val="Calibri"/>
        <scheme val="minor"/>
      </rPr>
      <t>Parallel Program Run</t>
    </r>
    <r>
      <rPr>
        <sz val="11"/>
        <color rgb="FF000000"/>
        <rFont val="Calibri"/>
        <scheme val="minor"/>
      </rPr>
      <t>:</t>
    </r>
    <r>
      <rPr>
        <sz val="11"/>
        <color rgb="FFFFFF00"/>
        <rFont val="Calibri"/>
        <scheme val="minor"/>
      </rPr>
      <t xml:space="preserve"> </t>
    </r>
    <r>
      <rPr>
        <b/>
        <sz val="11"/>
        <color rgb="FF00B050"/>
        <rFont val="Calibri"/>
        <scheme val="minor"/>
      </rPr>
      <t>UT041A combines files from previous groups, TR004 processes these combined files, and the final three steps generate various reports independently</t>
    </r>
    <r>
      <rPr>
        <b/>
        <sz val="11"/>
        <color rgb="FF92D050"/>
        <rFont val="Calibri"/>
        <scheme val="minor"/>
      </rPr>
      <t xml:space="preserve">. </t>
    </r>
    <r>
      <rPr>
        <b/>
        <sz val="11"/>
        <color rgb="FF00B050"/>
        <rFont val="Calibri"/>
        <scheme val="minor"/>
      </rPr>
      <t>So TR005,TR077 &amp; TR029 can run parallely</t>
    </r>
  </si>
  <si>
    <r>
      <rPr>
        <b/>
        <sz val="11"/>
        <color theme="1"/>
        <rFont val="Calibri"/>
        <family val="2"/>
        <scheme val="minor"/>
      </rPr>
      <t>Partially yes</t>
    </r>
    <r>
      <rPr>
        <sz val="11"/>
        <color theme="1"/>
        <rFont val="Calibri"/>
        <family val="2"/>
        <scheme val="minor"/>
      </rPr>
      <t>: In Group 2 , Only TR052 can run in parallel with TR039 or  TR051                                     In Group 6, TR005,TR029 and TR077 can run in parallel</t>
    </r>
  </si>
  <si>
    <t>Table/File</t>
  </si>
  <si>
    <t xml:space="preserve">Mainframe Contract Payroll processing that produces Payroll file that is used in TRIS_RH_Contract_Final_550_Send_ToPayroll to build a JSON request to send to Workday    </t>
  </si>
  <si>
    <t>Every Alternate Tuesday</t>
  </si>
  <si>
    <t xml:space="preserve">Run after AR13895 as it loads some DB2 tables </t>
  </si>
  <si>
    <r>
      <rPr>
        <b/>
        <sz val="11"/>
        <color theme="1"/>
        <rFont val="Calibri"/>
        <family val="2"/>
        <scheme val="minor"/>
      </rPr>
      <t>Group 1 (Must Execute First)</t>
    </r>
    <r>
      <rPr>
        <sz val="11"/>
        <color theme="1"/>
        <rFont val="Calibri"/>
        <family val="2"/>
        <scheme val="minor"/>
      </rPr>
      <t xml:space="preserve">
Step 1: TR001 (Extract Actual Time and Adjustments)
Step 2: UT133F (Sort Extract File for Missing Time)
Step 3: TR039 (Missing Time Report)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have sequential dependencies as TR039 uses the sorted output from UT133F which processes TR001's output.</t>
    </r>
    <r>
      <rPr>
        <sz val="11"/>
        <color theme="1"/>
        <rFont val="Calibri"/>
        <family val="2"/>
        <scheme val="minor"/>
      </rPr>
      <t xml:space="preserve">
</t>
    </r>
    <r>
      <rPr>
        <b/>
        <sz val="11"/>
        <color theme="1"/>
        <rFont val="Calibri"/>
        <family val="2"/>
        <scheme val="minor"/>
      </rPr>
      <t>Group 2 (Database Quiesce - Must Execute After Group 1)</t>
    </r>
    <r>
      <rPr>
        <sz val="11"/>
        <color theme="1"/>
        <rFont val="Calibri"/>
        <family val="2"/>
        <scheme val="minor"/>
      </rPr>
      <t xml:space="preserve">
Step 4: QUIESCE1 (Quiesce TRIS DB2 Tablespaces)
Step 5: UT467A (Verify Quiesce Success)
</t>
    </r>
    <r>
      <rPr>
        <b/>
        <sz val="11"/>
        <color theme="1"/>
        <rFont val="Calibri"/>
        <family val="2"/>
        <scheme val="minor"/>
      </rPr>
      <t>Parallel Program Run</t>
    </r>
    <r>
      <rPr>
        <sz val="11"/>
        <color theme="1"/>
        <rFont val="Calibri"/>
        <family val="2"/>
        <scheme val="minor"/>
      </rPr>
      <t xml:space="preserve">: These steps must run sequentially as UT467A verifies the success of QUIESCE1.
</t>
    </r>
    <r>
      <rPr>
        <b/>
        <sz val="11"/>
        <color theme="1"/>
        <rFont val="Calibri"/>
        <family val="2"/>
        <scheme val="minor"/>
      </rPr>
      <t>Group 3 (Initial Processing - Depends on Group 1)</t>
    </r>
    <r>
      <rPr>
        <sz val="11"/>
        <color theme="1"/>
        <rFont val="Calibri"/>
        <family val="2"/>
        <scheme val="minor"/>
      </rPr>
      <t xml:space="preserve">
Step 6: TR051 (Allowed Time Records)
Step 7: TR052 (Split Extract File for Sick Leave)
</t>
    </r>
    <r>
      <rPr>
        <b/>
        <sz val="11"/>
        <color theme="1"/>
        <rFont val="Calibri"/>
        <family val="2"/>
        <scheme val="minor"/>
      </rPr>
      <t>Parallel Program Run</t>
    </r>
    <r>
      <rPr>
        <sz val="11"/>
        <color theme="1"/>
        <rFont val="Calibri"/>
        <family val="2"/>
        <scheme val="minor"/>
      </rPr>
      <t xml:space="preserve">: </t>
    </r>
    <r>
      <rPr>
        <b/>
        <sz val="11"/>
        <color rgb="FF00B050"/>
        <rFont val="Calibri"/>
        <family val="2"/>
        <scheme val="minor"/>
      </rPr>
      <t>TR051 and TR052 both process the extract file from TR001 and could potentially run in parallel.</t>
    </r>
    <r>
      <rPr>
        <sz val="11"/>
        <color theme="1"/>
        <rFont val="Calibri"/>
        <family val="2"/>
        <scheme val="minor"/>
      </rPr>
      <t xml:space="preserve">
</t>
    </r>
    <r>
      <rPr>
        <b/>
        <sz val="11"/>
        <color theme="1"/>
        <rFont val="Calibri"/>
        <family val="2"/>
        <scheme val="minor"/>
      </rPr>
      <t>Group 4 (UE Processing - Depends on Group 3)</t>
    </r>
    <r>
      <rPr>
        <sz val="11"/>
        <color theme="1"/>
        <rFont val="Calibri"/>
        <family val="2"/>
        <scheme val="minor"/>
      </rPr>
      <t xml:space="preserve">
Step 8: TR003 (UE Allowed Time Processing)
Step 9: TR050 (Create UE Sick Leave Detail)
Step 10: TR021 (UE Adjustment Processing)
</t>
    </r>
    <r>
      <rPr>
        <b/>
        <sz val="11"/>
        <color theme="1"/>
        <rFont val="Calibri"/>
        <family val="2"/>
        <scheme val="minor"/>
      </rPr>
      <t>Parallel Program Run</t>
    </r>
    <r>
      <rPr>
        <sz val="11"/>
        <color theme="1"/>
        <rFont val="Calibri"/>
        <family val="2"/>
        <scheme val="minor"/>
      </rPr>
      <t>:</t>
    </r>
    <r>
      <rPr>
        <b/>
        <sz val="11"/>
        <color rgb="FFFF0000"/>
        <rFont val="Calibri"/>
        <family val="2"/>
        <scheme val="minor"/>
      </rPr>
      <t xml:space="preserve"> These steps must run sequentially as TR050 depends on output from TR003, and TR021 depends on outputs from both TR003 and TR050.</t>
    </r>
    <r>
      <rPr>
        <sz val="11"/>
        <color theme="1"/>
        <rFont val="Calibri"/>
        <family val="2"/>
        <scheme val="minor"/>
      </rPr>
      <t xml:space="preserve">
</t>
    </r>
    <r>
      <rPr>
        <b/>
        <sz val="11"/>
        <color theme="1"/>
        <rFont val="Calibri"/>
        <family val="2"/>
        <scheme val="minor"/>
      </rPr>
      <t>Group 5 (CIPS Processing - Depends on Group 3)</t>
    </r>
    <r>
      <rPr>
        <sz val="11"/>
        <color theme="1"/>
        <rFont val="Calibri"/>
        <family val="2"/>
        <scheme val="minor"/>
      </rPr>
      <t xml:space="preserve">
Step 11: TR003C (CIPS Allowed Time Processing)
Step 12: TR050C (Create CIPS Sick Leave Detail)
Step 13: TR021C (CIPS Adjustment Processing)
</t>
    </r>
    <r>
      <rPr>
        <b/>
        <sz val="11"/>
        <color theme="1"/>
        <rFont val="Calibri"/>
        <family val="2"/>
        <scheme val="minor"/>
      </rPr>
      <t>Parallel Program Run</t>
    </r>
    <r>
      <rPr>
        <sz val="11"/>
        <color theme="1"/>
        <rFont val="Calibri"/>
        <family val="2"/>
        <scheme val="minor"/>
      </rPr>
      <t>:</t>
    </r>
    <r>
      <rPr>
        <b/>
        <sz val="11"/>
        <color rgb="FFFF0000"/>
        <rFont val="Calibri"/>
        <family val="2"/>
        <scheme val="minor"/>
      </rPr>
      <t xml:space="preserve"> Similar to Group 4, these steps have sequential dependencies, with TR050C depending on TR003C and TR021C depending on both.</t>
    </r>
    <r>
      <rPr>
        <sz val="11"/>
        <color theme="1"/>
        <rFont val="Calibri"/>
        <family val="2"/>
        <scheme val="minor"/>
      </rPr>
      <t xml:space="preserve">
</t>
    </r>
    <r>
      <rPr>
        <b/>
        <sz val="11"/>
        <color theme="1"/>
        <rFont val="Calibri"/>
        <family val="2"/>
        <scheme val="minor"/>
      </rPr>
      <t>Group 6 (Sick Leave Processing - Depends on Group 3)</t>
    </r>
    <r>
      <rPr>
        <sz val="11"/>
        <color theme="1"/>
        <rFont val="Calibri"/>
        <family val="2"/>
        <scheme val="minor"/>
      </rPr>
      <t xml:space="preserve">
Step 14: UT133G (Sort Extract File for TR105)
Step 15: TR105 (Load Sick Leave Detail and Banks Work Tables)
Step 16: TR106 (Process Sick Leave)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must run sequentially as TR105 needs the sorted data from UT133G and TR106 depends on the tables loaded by TR105.</t>
    </r>
    <r>
      <rPr>
        <sz val="11"/>
        <color theme="1"/>
        <rFont val="Calibri"/>
        <family val="2"/>
        <scheme val="minor"/>
      </rPr>
      <t xml:space="preserve">
</t>
    </r>
    <r>
      <rPr>
        <b/>
        <sz val="11"/>
        <color theme="1"/>
        <rFont val="Calibri"/>
        <family val="2"/>
        <scheme val="minor"/>
      </rPr>
      <t>Group 7 (Sick Leave Messages - Depends on Group 6)</t>
    </r>
    <r>
      <rPr>
        <sz val="11"/>
        <color theme="1"/>
        <rFont val="Calibri"/>
        <family val="2"/>
        <scheme val="minor"/>
      </rPr>
      <t xml:space="preserve">
Step 17: TR131 (Sick Leave LTD Messages)
Step 18: UT133H (Sort Sick Leave Messages)
Step 19: TR108 (Sick Leave Messages Report)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must run sequentially as they process and format the sick leave message data.</t>
    </r>
    <r>
      <rPr>
        <sz val="11"/>
        <color theme="1"/>
        <rFont val="Calibri"/>
        <family val="2"/>
        <scheme val="minor"/>
      </rPr>
      <t xml:space="preserve">
</t>
    </r>
    <r>
      <rPr>
        <b/>
        <sz val="11"/>
        <color theme="1"/>
        <rFont val="Calibri"/>
        <family val="2"/>
        <scheme val="minor"/>
      </rPr>
      <t>Group 8 (Database Quiesce After Updates - Must Execute After Groups 4, 5, 6, 7)</t>
    </r>
    <r>
      <rPr>
        <sz val="11"/>
        <color theme="1"/>
        <rFont val="Calibri"/>
        <family val="2"/>
        <scheme val="minor"/>
      </rPr>
      <t xml:space="preserve">
Step 20: QUIESCE2 (Quiesce TRIS DB2 Tablespaces after updates)
Step 21: UT467B (Verify Quiesce Success)
Parallel Program Run: These steps must run sequentially as UT467B verifies the success of QUIESCE2.
</t>
    </r>
    <r>
      <rPr>
        <b/>
        <sz val="11"/>
        <color theme="1"/>
        <rFont val="Calibri"/>
        <family val="2"/>
        <scheme val="minor"/>
      </rPr>
      <t>Group 9 (Final Processing - Depends on Groups 4, 5, 6, 7, 8)</t>
    </r>
    <r>
      <rPr>
        <sz val="11"/>
        <color theme="1"/>
        <rFont val="Calibri"/>
        <family val="2"/>
        <scheme val="minor"/>
      </rPr>
      <t xml:space="preserve">
Step 22: UT041 (Combine Extract Files)
Step 23: TR004 (Process Combined Extract Files)
Step 24: TR005 (Process Deviation Files)
Step 25: TR060 (Create Paysheet)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have sequential dependencies as each step processes data from the previous step.</t>
    </r>
    <r>
      <rPr>
        <sz val="11"/>
        <color theme="1"/>
        <rFont val="Calibri"/>
        <family val="2"/>
        <scheme val="minor"/>
      </rPr>
      <t xml:space="preserve">
</t>
    </r>
    <r>
      <rPr>
        <b/>
        <sz val="11"/>
        <color theme="1"/>
        <rFont val="Calibri"/>
        <family val="2"/>
        <scheme val="minor"/>
      </rPr>
      <t>Group 10 (Final Steps - Depends on All Previous Groups)</t>
    </r>
    <r>
      <rPr>
        <sz val="11"/>
        <color theme="1"/>
        <rFont val="Calibri"/>
        <family val="2"/>
        <scheme val="minor"/>
      </rPr>
      <t xml:space="preserve">
Step 29: TR033 (Unlock Departments)
Step 30: TR037 (Update Final Cycle Number)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TR033 and TR037 Update common tables. So Can cause Data integrity issues</t>
    </r>
  </si>
  <si>
    <t>Partially Yes: In Group 3 , TR051 and TR052 can run parallel.</t>
  </si>
  <si>
    <t>File /Table</t>
  </si>
  <si>
    <t xml:space="preserve">Updates the sick leave banks to be viewed in TRIS after the Contract Final Job completes TRIS_RH_Contract_Final_410_MF_TR33200   </t>
  </si>
  <si>
    <t>Run after TR33200</t>
  </si>
  <si>
    <r>
      <rPr>
        <b/>
        <sz val="11"/>
        <color theme="1"/>
        <rFont val="Calibri"/>
        <family val="2"/>
        <scheme val="minor"/>
      </rPr>
      <t>Group 1 (Sick Leave Processing - Must Execute First)</t>
    </r>
    <r>
      <rPr>
        <sz val="11"/>
        <color theme="1"/>
        <rFont val="Calibri"/>
        <family val="2"/>
        <scheme val="minor"/>
      </rPr>
      <t xml:space="preserve">
Step 1: TR109 (Update Sick Leave Banks with Current Balances)
Step 2: TR107 (Update Sick Leave Detail and Banks from Work Tables)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Cannot run parallel  as TR107 likely needs the updated balances from TR109. They operate on sick leave data tables with potential for data contention if run in parallel.</t>
    </r>
    <r>
      <rPr>
        <sz val="11"/>
        <color theme="1"/>
        <rFont val="Calibri"/>
        <family val="2"/>
        <scheme val="minor"/>
      </rPr>
      <t xml:space="preserve">
</t>
    </r>
    <r>
      <rPr>
        <b/>
        <sz val="11"/>
        <color theme="1"/>
        <rFont val="Calibri"/>
        <family val="2"/>
        <scheme val="minor"/>
      </rPr>
      <t>Group 2 (Sick Leave Reports - Depends on Group 1)</t>
    </r>
    <r>
      <rPr>
        <sz val="11"/>
        <color theme="1"/>
        <rFont val="Calibri"/>
        <family val="2"/>
        <scheme val="minor"/>
      </rPr>
      <t xml:space="preserve">
Step 3: TR077 (Sick Leave Detail Report)
Step 4: TR042 (CIPS/GEN Local 702 Sick Leave Reports)
</t>
    </r>
    <r>
      <rPr>
        <b/>
        <sz val="11"/>
        <color theme="1"/>
        <rFont val="Calibri"/>
        <family val="2"/>
        <scheme val="minor"/>
      </rPr>
      <t>Parallel Program Run</t>
    </r>
    <r>
      <rPr>
        <sz val="11"/>
        <color theme="1"/>
        <rFont val="Calibri"/>
        <family val="2"/>
        <scheme val="minor"/>
      </rPr>
      <t xml:space="preserve">: </t>
    </r>
    <r>
      <rPr>
        <b/>
        <sz val="11"/>
        <color rgb="FF00B050"/>
        <rFont val="Calibri"/>
        <family val="2"/>
        <scheme val="minor"/>
      </rPr>
      <t>These steps both read from the sick leave output files but perform independent report generation, so they could potentially run in parallel after Group 1 completes.</t>
    </r>
    <r>
      <rPr>
        <sz val="11"/>
        <color theme="1"/>
        <rFont val="Calibri"/>
        <family val="2"/>
        <scheme val="minor"/>
      </rPr>
      <t xml:space="preserve">
</t>
    </r>
    <r>
      <rPr>
        <b/>
        <sz val="11"/>
        <color theme="1"/>
        <rFont val="Calibri"/>
        <family val="2"/>
        <scheme val="minor"/>
      </rPr>
      <t>Group 3 (Final Report Processing - Independent of Group 2)</t>
    </r>
    <r>
      <rPr>
        <sz val="11"/>
        <color theme="1"/>
        <rFont val="Calibri"/>
        <family val="2"/>
        <scheme val="minor"/>
      </rPr>
      <t xml:space="preserve">
Step 5: TR029 (Final Report Processing)
</t>
    </r>
    <r>
      <rPr>
        <b/>
        <sz val="11"/>
        <color theme="1"/>
        <rFont val="Calibri"/>
        <family val="2"/>
        <scheme val="minor"/>
      </rPr>
      <t>Parallel Program Run</t>
    </r>
    <r>
      <rPr>
        <sz val="11"/>
        <color theme="1"/>
        <rFont val="Calibri"/>
        <family val="2"/>
        <scheme val="minor"/>
      </rPr>
      <t xml:space="preserve">: This step reads from the ACCUM.EXTRACT file generated in the previous job and is independent of the sick leave processing in Group 2.
</t>
    </r>
    <r>
      <rPr>
        <b/>
        <sz val="11"/>
        <color theme="1"/>
        <rFont val="Calibri"/>
        <family val="2"/>
        <scheme val="minor"/>
      </rPr>
      <t>Group 4 (Allowed Time Processing - Independent from Groups 2-3)</t>
    </r>
    <r>
      <rPr>
        <sz val="11"/>
        <color theme="1"/>
        <rFont val="Calibri"/>
        <family val="2"/>
        <scheme val="minor"/>
      </rPr>
      <t xml:space="preserve">
Step 6: TR026 (Split Exception Codes for Allowed Time)
Step 7: TR135 (Allowed Time Detail Table Update)
</t>
    </r>
    <r>
      <rPr>
        <b/>
        <sz val="11"/>
        <color theme="1"/>
        <rFont val="Calibri"/>
        <family val="2"/>
        <scheme val="minor"/>
      </rPr>
      <t>Parallel Program Run:</t>
    </r>
    <r>
      <rPr>
        <sz val="11"/>
        <color theme="1"/>
        <rFont val="Calibri"/>
        <family val="2"/>
        <scheme val="minor"/>
      </rPr>
      <t xml:space="preserve"> </t>
    </r>
    <r>
      <rPr>
        <b/>
        <sz val="11"/>
        <color rgb="FFFF0000"/>
        <rFont val="Calibri"/>
        <family val="2"/>
        <scheme val="minor"/>
      </rPr>
      <t>These steps must run sequentially as TR135 depends on the output from TR026 (EXT.ALTIME file).</t>
    </r>
    <r>
      <rPr>
        <sz val="11"/>
        <color theme="1"/>
        <rFont val="Calibri"/>
        <family val="2"/>
        <scheme val="minor"/>
      </rPr>
      <t xml:space="preserve">
</t>
    </r>
    <r>
      <rPr>
        <b/>
        <sz val="11"/>
        <color theme="1"/>
        <rFont val="Calibri"/>
        <family val="2"/>
        <scheme val="minor"/>
      </rPr>
      <t>Group 5 (Relief Hours Processing - Independent from Group 4)</t>
    </r>
    <r>
      <rPr>
        <sz val="11"/>
        <color theme="1"/>
        <rFont val="Calibri"/>
        <family val="2"/>
        <scheme val="minor"/>
      </rPr>
      <t xml:space="preserve">
Step 8: UT133D (Sort ACCUM.EXTRACT File)
Step 9: TR136 (Relief Hours Table Update)
Step 10: TR137 (Hours Worked of Relief Reports)
</t>
    </r>
    <r>
      <rPr>
        <b/>
        <sz val="11"/>
        <color theme="1"/>
        <rFont val="Calibri"/>
        <family val="2"/>
        <scheme val="minor"/>
      </rPr>
      <t>Parallel Program Run</t>
    </r>
    <r>
      <rPr>
        <sz val="11"/>
        <color theme="1"/>
        <rFont val="Calibri"/>
        <family val="2"/>
        <scheme val="minor"/>
      </rPr>
      <t xml:space="preserve">: These steps have sequential dependencies as TR136 uses the sorted output from UT133D, and TR137 likely depends on the updates made by TR136.
</t>
    </r>
    <r>
      <rPr>
        <b/>
        <sz val="11"/>
        <color theme="1"/>
        <rFont val="Calibri"/>
        <family val="2"/>
        <scheme val="minor"/>
      </rPr>
      <t>Group 6 (Special Reports - Can Run Independently)</t>
    </r>
    <r>
      <rPr>
        <sz val="11"/>
        <color theme="1"/>
        <rFont val="Calibri"/>
        <family val="2"/>
        <scheme val="minor"/>
      </rPr>
      <t xml:space="preserve">
Step 11: TR111 (Temporary Referral Worker Report)
Step 12: TR134 (Union OA 12 Hour Shift Sick Leave Certification)
</t>
    </r>
    <r>
      <rPr>
        <b/>
        <sz val="11"/>
        <color theme="1"/>
        <rFont val="Calibri"/>
        <family val="2"/>
        <scheme val="minor"/>
      </rPr>
      <t>Parallel Program Run</t>
    </r>
    <r>
      <rPr>
        <sz val="11"/>
        <color theme="1"/>
        <rFont val="Calibri"/>
        <family val="2"/>
        <scheme val="minor"/>
      </rPr>
      <t xml:space="preserve">: These reports appear to be independent processes that generate specialized reports. They could potentially run in parallel with each other and possibly with Groups 4-5.
</t>
    </r>
  </si>
  <si>
    <t>Contract Final (ctd.)</t>
  </si>
  <si>
    <t xml:space="preserve">Executive Final Payroll Processing that produces Payroll file that is used in TRIS_RH_Executive_Final_550_Send_ToPayroll to build a JSON request to send to Workday    </t>
  </si>
  <si>
    <t>Monthly twice (7th and 21st mostly) on demand</t>
  </si>
  <si>
    <r>
      <rPr>
        <sz val="11"/>
        <color rgb="FF000000"/>
        <rFont val="Calibri"/>
        <scheme val="minor"/>
      </rPr>
      <t xml:space="preserve">Group 1 (Initial Extraction and Department Management)
Step 1: TR001 (Extract Actual Time and Adjustments)
Step 2: TR033 (Unlock Departments)
</t>
    </r>
    <r>
      <rPr>
        <b/>
        <sz val="11"/>
        <color rgb="FF000000"/>
        <rFont val="Calibri"/>
        <scheme val="minor"/>
      </rPr>
      <t>Parallel Program Run</t>
    </r>
    <r>
      <rPr>
        <sz val="11"/>
        <color rgb="FF000000"/>
        <rFont val="Calibri"/>
        <scheme val="minor"/>
      </rPr>
      <t xml:space="preserve">: </t>
    </r>
    <r>
      <rPr>
        <b/>
        <sz val="11"/>
        <color rgb="FFFF0000"/>
        <rFont val="Calibri"/>
        <scheme val="minor"/>
      </rPr>
      <t xml:space="preserve">These must run sequentially as they handle initial data extraction and department unlocking
</t>
    </r>
    <r>
      <rPr>
        <sz val="11"/>
        <color rgb="FF000000"/>
        <rFont val="Calibri"/>
        <scheme val="minor"/>
      </rPr>
      <t xml:space="preserve">
</t>
    </r>
    <r>
      <rPr>
        <b/>
        <sz val="11"/>
        <color rgb="FF000000"/>
        <rFont val="Calibri"/>
        <scheme val="minor"/>
      </rPr>
      <t xml:space="preserve">Group 2 (Missing Time Processing)
</t>
    </r>
    <r>
      <rPr>
        <sz val="11"/>
        <color rgb="FF000000"/>
        <rFont val="Calibri"/>
        <scheme val="minor"/>
      </rPr>
      <t xml:space="preserve">Step 3: UT133C (Sort Extract File for Missing Time)
Step 4: TR039 (Missing Time Report)
</t>
    </r>
    <r>
      <rPr>
        <b/>
        <sz val="11"/>
        <color rgb="FF000000"/>
        <rFont val="Calibri"/>
        <scheme val="minor"/>
      </rPr>
      <t>Parallel Program Run</t>
    </r>
    <r>
      <rPr>
        <sz val="11"/>
        <color rgb="FF000000"/>
        <rFont val="Calibri"/>
        <scheme val="minor"/>
      </rPr>
      <t xml:space="preserve">: </t>
    </r>
    <r>
      <rPr>
        <b/>
        <sz val="11"/>
        <color rgb="FFFF0000"/>
        <rFont val="Calibri"/>
        <scheme val="minor"/>
      </rPr>
      <t xml:space="preserve">These steps depend on the output from TR001 and must run sequentially
</t>
    </r>
    <r>
      <rPr>
        <sz val="11"/>
        <color rgb="FF000000"/>
        <rFont val="Calibri"/>
        <scheme val="minor"/>
      </rPr>
      <t xml:space="preserve">
</t>
    </r>
    <r>
      <rPr>
        <b/>
        <sz val="11"/>
        <color rgb="FF000000"/>
        <rFont val="Calibri"/>
        <scheme val="minor"/>
      </rPr>
      <t xml:space="preserve">Group 3 (Database Protection - First Quiesce)
</t>
    </r>
    <r>
      <rPr>
        <sz val="11"/>
        <color rgb="FF000000"/>
        <rFont val="Calibri"/>
        <scheme val="minor"/>
      </rPr>
      <t xml:space="preserve">Step 5: QUIESCE1 (Before Quiesce on TRIS DB2 Tables)
Step 6: UT467A (Validation step for QUIESCE1)
Note: Critical database protection step that must run before updates
</t>
    </r>
    <r>
      <rPr>
        <b/>
        <sz val="11"/>
        <color rgb="FF000000"/>
        <rFont val="Calibri"/>
        <scheme val="minor"/>
      </rPr>
      <t xml:space="preserve">Group 4 (UE Processing)
</t>
    </r>
    <r>
      <rPr>
        <sz val="11"/>
        <color rgb="FF000000"/>
        <rFont val="Calibri"/>
        <scheme val="minor"/>
      </rPr>
      <t xml:space="preserve">Step 7: TR051 (Allowed Time Records)
Step 8: TR052 (Split Sick Leave Extract File)
Step 9: TR003 (UE Allowed Time Processing)
Step 10: TR050 (Create UE Sick Leave Detail)
Step 11: TR021 (UE Adjustment Processing)
</t>
    </r>
    <r>
      <rPr>
        <b/>
        <sz val="11"/>
        <color rgb="FF000000"/>
        <rFont val="Calibri"/>
        <scheme val="minor"/>
      </rPr>
      <t>Parallel Program Run</t>
    </r>
    <r>
      <rPr>
        <sz val="11"/>
        <color rgb="FF000000"/>
        <rFont val="Calibri"/>
        <scheme val="minor"/>
      </rPr>
      <t xml:space="preserve">: </t>
    </r>
    <r>
      <rPr>
        <b/>
        <sz val="11"/>
        <color rgb="FFFF0000"/>
        <rFont val="Calibri"/>
        <scheme val="minor"/>
      </rPr>
      <t xml:space="preserve">These steps have sequential dependencies as each relies on output from previous steps
</t>
    </r>
    <r>
      <rPr>
        <sz val="11"/>
        <color rgb="FF000000"/>
        <rFont val="Calibri"/>
        <scheme val="minor"/>
      </rPr>
      <t xml:space="preserve">
</t>
    </r>
    <r>
      <rPr>
        <b/>
        <sz val="11"/>
        <color rgb="FF000000"/>
        <rFont val="Calibri"/>
        <scheme val="minor"/>
      </rPr>
      <t xml:space="preserve">Group 5 (Combine and Process UE Data)
</t>
    </r>
    <r>
      <rPr>
        <sz val="11"/>
        <color rgb="FF000000"/>
        <rFont val="Calibri"/>
        <scheme val="minor"/>
      </rPr>
      <t xml:space="preserve">Step 12: UT041 (Combine Extract Files)
Step 13: TR103 (Management Exempt Partial Day)
Note: These steps consolidate and further process the UE data
</t>
    </r>
    <r>
      <rPr>
        <b/>
        <sz val="11"/>
        <color rgb="FF000000"/>
        <rFont val="Calibri"/>
        <scheme val="minor"/>
      </rPr>
      <t xml:space="preserve">Group 6 (Database Protection - Second Quiesce)
</t>
    </r>
    <r>
      <rPr>
        <sz val="11"/>
        <color rgb="FF000000"/>
        <rFont val="Calibri"/>
        <scheme val="minor"/>
      </rPr>
      <t xml:space="preserve">Step 14: QUIESCE2 (After Quiesce on TRIS DB2 Tables)
Step 15: UT467B (Validation step for QUIESCE2)
Note: Second database protection step after updates
</t>
    </r>
    <r>
      <rPr>
        <b/>
        <sz val="11"/>
        <color rgb="FF000000"/>
        <rFont val="Calibri"/>
        <scheme val="minor"/>
      </rPr>
      <t xml:space="preserve">Group 7 (Final Processing and Reporting)
</t>
    </r>
    <r>
      <rPr>
        <sz val="11"/>
        <color rgb="FF000000"/>
        <rFont val="Calibri"/>
        <scheme val="minor"/>
      </rPr>
      <t xml:space="preserve">Step 16: TR004 (Create input for other reports)
Step 17: TR005 (Deviation Reports)
Step 18: TR044 (Assign Executive Overtime Codes)
Step 19: TR060 (Paysheet Generation)
Step 20: UT133A (Sort Paysheet)
</t>
    </r>
    <r>
      <rPr>
        <b/>
        <sz val="11"/>
        <color rgb="FF000000"/>
        <rFont val="Calibri"/>
        <scheme val="minor"/>
      </rPr>
      <t>Parallel Program run</t>
    </r>
    <r>
      <rPr>
        <sz val="11"/>
        <color rgb="FF000000"/>
        <rFont val="Calibri"/>
        <scheme val="minor"/>
      </rPr>
      <t xml:space="preserve"> :</t>
    </r>
    <r>
      <rPr>
        <b/>
        <sz val="11"/>
        <color rgb="FF00B050"/>
        <rFont val="Calibri"/>
        <scheme val="minor"/>
      </rPr>
      <t xml:space="preserve">Once TR004 completes,              TR005 and TR044 can run in parallel . TR060 can run only after TR044 as it depends on Output file 
</t>
    </r>
    <r>
      <rPr>
        <sz val="11"/>
        <color rgb="FF000000"/>
        <rFont val="Calibri"/>
        <scheme val="minor"/>
      </rPr>
      <t xml:space="preserve">
</t>
    </r>
    <r>
      <rPr>
        <b/>
        <sz val="11"/>
        <color rgb="FF000000"/>
        <rFont val="Calibri"/>
        <scheme val="minor"/>
      </rPr>
      <t xml:space="preserve">Group 8 (Reports Generation - Can run in parallel after Group 7)
</t>
    </r>
    <r>
      <rPr>
        <sz val="11"/>
        <color rgb="FF000000"/>
        <rFont val="Calibri"/>
        <scheme val="minor"/>
      </rPr>
      <t xml:space="preserve">Step 21: TR077 (Sick Leave Detail Report)
Step 22: TR029 (Final Report)
Step 23: TR026 (Split Exception Codes for Allowed Time)
Step 25: TR135 (Allowed Time Detail Table Update)
Step 26: TI0534 (Create Variable Accounting Variation File)
Step 27: TI1009 (Create GES Report)
Step 28: TR128 (Management Sick Leave Balance Report)
</t>
    </r>
    <r>
      <rPr>
        <b/>
        <sz val="11"/>
        <color rgb="FF000000"/>
        <rFont val="Calibri"/>
        <scheme val="minor"/>
      </rPr>
      <t>Parallel Program run</t>
    </r>
    <r>
      <rPr>
        <sz val="11"/>
        <color rgb="FF000000"/>
        <rFont val="Calibri"/>
        <scheme val="minor"/>
      </rPr>
      <t xml:space="preserve">: </t>
    </r>
    <r>
      <rPr>
        <b/>
        <sz val="11"/>
        <color rgb="FF00B050"/>
        <rFont val="Calibri"/>
        <scheme val="minor"/>
      </rPr>
      <t xml:space="preserve">TR077,TR029 ,TR026 &amp; TR128 can run in parallel. TR135 needs to run after TR026 as it has file dependencies.
</t>
    </r>
    <r>
      <rPr>
        <sz val="11"/>
        <color rgb="FF000000"/>
        <rFont val="Calibri"/>
        <scheme val="minor"/>
      </rPr>
      <t xml:space="preserve">
</t>
    </r>
    <r>
      <rPr>
        <b/>
        <sz val="11"/>
        <color rgb="FF000000"/>
        <rFont val="Calibri"/>
        <scheme val="minor"/>
      </rPr>
      <t xml:space="preserve">Group 9 (Final System Update)
</t>
    </r>
    <r>
      <rPr>
        <sz val="11"/>
        <color rgb="FF000000"/>
        <rFont val="Calibri"/>
        <scheme val="minor"/>
      </rPr>
      <t xml:space="preserve">Step 29: TR037 (Update Final Cycle Number)
Note: </t>
    </r>
    <r>
      <rPr>
        <b/>
        <sz val="11"/>
        <color rgb="FF000000"/>
        <rFont val="Calibri"/>
        <scheme val="minor"/>
      </rPr>
      <t>Final step to update cycle numbers - must run last</t>
    </r>
  </si>
  <si>
    <r>
      <rPr>
        <b/>
        <sz val="11"/>
        <color theme="1"/>
        <rFont val="Calibri"/>
        <family val="2"/>
        <scheme val="minor"/>
      </rPr>
      <t>Partially yes</t>
    </r>
    <r>
      <rPr>
        <sz val="11"/>
        <color theme="1"/>
        <rFont val="Calibri"/>
        <family val="2"/>
        <scheme val="minor"/>
      </rPr>
      <t>:                                           In Group 7, TR005  and TR044 can run in parallel                             In Group 8, TR077,TR029 ,TR026 &amp; TR128 can run in parallel</t>
    </r>
  </si>
  <si>
    <t>Processes delayed overtime bank charges (TR008) at 00:05 every day.</t>
  </si>
  <si>
    <t>Daily 00:05 AM</t>
  </si>
  <si>
    <t>Scheduled Run No dependency</t>
  </si>
  <si>
    <t xml:space="preserve">Ameren Missouri Stores Weekly Overtime Report (TR053) </t>
  </si>
  <si>
    <t xml:space="preserve">Tue 2:00 AM </t>
  </si>
  <si>
    <t xml:space="preserve">Seniority reports for Local 148 (OA) and 1455 (JA,JB)   </t>
  </si>
  <si>
    <t>1st Day of Month(5PM)</t>
  </si>
  <si>
    <t>Yes</t>
  </si>
  <si>
    <t>Absence exception reports --</t>
  </si>
  <si>
    <t>20th Day of Month (5PM)</t>
  </si>
  <si>
    <t xml:space="preserve">File </t>
  </si>
  <si>
    <t xml:space="preserve">Sick leave summary report. </t>
  </si>
  <si>
    <t>20th Day of Month(JAN MAR APR JUN JUL SEP) (5PM)</t>
  </si>
  <si>
    <t>E&amp;C project hours reports.  </t>
  </si>
  <si>
    <t>1st Day of Month(JAN  APR JUL OCT) (4 AM)</t>
  </si>
  <si>
    <t xml:space="preserve">Seniority list for union local 1439 (IA) , 309 (PA), 609 (VA).    </t>
  </si>
  <si>
    <t>20th Day of Month(JAN  APR JUL OCT) (5PM)</t>
  </si>
  <si>
    <t xml:space="preserve">Executive quarterly overtime report </t>
  </si>
  <si>
    <t>15th Day of Month(JAN  APR JUL OCT) (5PM)</t>
  </si>
  <si>
    <t xml:space="preserve">Sick Leave Reports Quarterly.  </t>
  </si>
  <si>
    <t>Partially Yes - TR130 ,TI0544,TR099,TR049 can run parallely. TR041 expects file from TI0544 to create report</t>
  </si>
  <si>
    <t xml:space="preserve">Vacation carryover update and report.  </t>
  </si>
  <si>
    <t>20th Jan 5.30 PM</t>
  </si>
  <si>
    <t xml:space="preserve">Sick Leave and Vacation reports.  </t>
  </si>
  <si>
    <t>20th Jan 6 PM</t>
  </si>
  <si>
    <t xml:space="preserve">CIPS local 702 sick leave reports.  </t>
  </si>
  <si>
    <t>20th Jan 8 PM</t>
  </si>
  <si>
    <t xml:space="preserve">Build holidays for the next year   </t>
  </si>
  <si>
    <t xml:space="preserve">20th Oct </t>
  </si>
  <si>
    <t xml:space="preserve">
(Pending Jim's final review)</t>
  </si>
  <si>
    <t xml:space="preserve">Vacation allotment for management employees report   </t>
  </si>
  <si>
    <t xml:space="preserve">Vacation allotment for contract employees report   </t>
  </si>
  <si>
    <t xml:space="preserve">sick leave recalculate </t>
  </si>
  <si>
    <t>No Depedency</t>
  </si>
  <si>
    <t xml:space="preserve">Executive Preliminary Job on Request   </t>
  </si>
  <si>
    <r>
      <rPr>
        <b/>
        <sz val="11"/>
        <color theme="1"/>
        <rFont val="Calibri"/>
        <family val="2"/>
        <scheme val="minor"/>
      </rPr>
      <t>Group 1 (Must Execute First)</t>
    </r>
    <r>
      <rPr>
        <sz val="11"/>
        <color theme="1"/>
        <rFont val="Calibri"/>
        <family val="2"/>
        <scheme val="minor"/>
      </rPr>
      <t xml:space="preserve">
Step 1: TR033 (Lock departments before final run)
Step 2: TR001 (Extract Actual Time and Adjustments)</t>
    </r>
    <r>
      <rPr>
        <b/>
        <sz val="11"/>
        <color theme="1"/>
        <rFont val="Calibri"/>
        <family val="2"/>
        <scheme val="minor"/>
      </rPr>
      <t xml:space="preserve"> Parallel Program Run: </t>
    </r>
    <r>
      <rPr>
        <b/>
        <sz val="11"/>
        <color rgb="FFFF0000"/>
        <rFont val="Calibri"/>
        <family val="2"/>
        <scheme val="minor"/>
      </rPr>
      <t xml:space="preserve">Table Dependencies exists, so need to run sequentially                                       </t>
    </r>
    <r>
      <rPr>
        <b/>
        <sz val="11"/>
        <color theme="1"/>
        <rFont val="Calibri"/>
        <family val="2"/>
        <scheme val="minor"/>
      </rPr>
      <t xml:space="preserve">                                                                                                                                                                                                                                                                                               Group 2 (Depends on Group 1 for Files)</t>
    </r>
    <r>
      <rPr>
        <sz val="11"/>
        <color theme="1"/>
        <rFont val="Calibri"/>
        <family val="2"/>
        <scheme val="minor"/>
      </rPr>
      <t xml:space="preserve">
Step 3: UT133A (Sort Extract File for Missing Time) - Depends on TR001 output
Step 4: TR039 (Missing Time Report) - Depends on sorted extract from UT133A
Step 5: TR051 (Allowed Time Records) - Depends on TR001 extract file
Step 6: TR052 (Split Sick Leave Extract File) - Depends on TR001 extract file                                                    </t>
    </r>
    <r>
      <rPr>
        <b/>
        <sz val="11"/>
        <color theme="1"/>
        <rFont val="Calibri"/>
        <family val="2"/>
        <scheme val="minor"/>
      </rPr>
      <t>Parallel Program Run</t>
    </r>
    <r>
      <rPr>
        <sz val="11"/>
        <color theme="1"/>
        <rFont val="Calibri"/>
        <family val="2"/>
        <scheme val="minor"/>
      </rPr>
      <t xml:space="preserve">: </t>
    </r>
    <r>
      <rPr>
        <b/>
        <sz val="11"/>
        <color rgb="FF00B050"/>
        <rFont val="Calibri"/>
        <family val="2"/>
        <scheme val="minor"/>
      </rPr>
      <t>These steps all depend on the initial extract files from TR001. Within them, TR052 can run in parallel with TR039 &amp; TR051 separately, but the other 2 cannot</t>
    </r>
    <r>
      <rPr>
        <b/>
        <sz val="11"/>
        <color rgb="FFFF0000"/>
        <rFont val="Calibri"/>
        <family val="2"/>
        <scheme val="minor"/>
      </rPr>
      <t>.</t>
    </r>
    <r>
      <rPr>
        <sz val="11"/>
        <color rgb="FFFF0000"/>
        <rFont val="Calibri"/>
        <family val="2"/>
        <scheme val="minor"/>
      </rPr>
      <t xml:space="preserve">
                                                   </t>
    </r>
    <r>
      <rPr>
        <sz val="11"/>
        <color theme="1"/>
        <rFont val="Calibri"/>
        <family val="2"/>
        <scheme val="minor"/>
      </rPr>
      <t xml:space="preserve">                                                                </t>
    </r>
    <r>
      <rPr>
        <b/>
        <sz val="11"/>
        <color theme="1"/>
        <rFont val="Calibri"/>
        <family val="2"/>
        <scheme val="minor"/>
      </rPr>
      <t>Group 3 (UE Processing - Depends on Group 2 TR052 for files)</t>
    </r>
    <r>
      <rPr>
        <sz val="11"/>
        <color theme="1"/>
        <rFont val="Calibri"/>
        <family val="2"/>
        <scheme val="minor"/>
      </rPr>
      <t xml:space="preserve">
Step 7: TR003 (UE Allowed Time Processing) - Depends on TR052 UE extract
Step 8: TR050 (Create UE Sick Leave Detail) - Depends on TR003 sick output
Step 9: TR021 (UE Adjustment Processing) - Depends on TR050 output                                                                            </t>
    </r>
    <r>
      <rPr>
        <b/>
        <sz val="11"/>
        <color theme="1"/>
        <rFont val="Calibri"/>
        <family val="2"/>
        <scheme val="minor"/>
      </rPr>
      <t>Parallel Program Run:</t>
    </r>
    <r>
      <rPr>
        <b/>
        <sz val="11"/>
        <color rgb="FFFF0000"/>
        <rFont val="Calibri"/>
        <family val="2"/>
        <scheme val="minor"/>
      </rPr>
      <t xml:space="preserve"> These steps must run sequentially as TR050 depends on output from TR003, and TR021 depends on outputs from both TR003 and TR050.        </t>
    </r>
    <r>
      <rPr>
        <sz val="11"/>
        <color rgb="FFFF0000"/>
        <rFont val="Calibri"/>
        <family val="2"/>
        <scheme val="minor"/>
      </rPr>
      <t xml:space="preserve">   
</t>
    </r>
    <r>
      <rPr>
        <b/>
        <sz val="11"/>
        <color rgb="FFFF0000"/>
        <rFont val="Calibri"/>
        <family val="2"/>
        <scheme val="minor"/>
      </rPr>
      <t xml:space="preserve">                                                                </t>
    </r>
    <r>
      <rPr>
        <b/>
        <sz val="11"/>
        <color theme="1"/>
        <rFont val="Calibri"/>
        <family val="2"/>
        <scheme val="minor"/>
      </rPr>
      <t xml:space="preserve">                                                Group 4 (Consolidation and Final Processing - Depends on Group 3)</t>
    </r>
    <r>
      <rPr>
        <sz val="11"/>
        <color theme="1"/>
        <rFont val="Calibri"/>
        <family val="2"/>
        <scheme val="minor"/>
      </rPr>
      <t xml:space="preserve">
Step 10: UT041A (Combine Extract Files) - Depends on TR003 and TR021 outputs
Step 11: TR103 (Management Exempt Partial Day) - Depends on combined extract files
                                                                                                                       </t>
    </r>
    <r>
      <rPr>
        <b/>
        <sz val="11"/>
        <color theme="1"/>
        <rFont val="Calibri"/>
        <family val="2"/>
        <scheme val="minor"/>
      </rPr>
      <t>Group 5 (Report Generation - Depends on Group 4)</t>
    </r>
    <r>
      <rPr>
        <sz val="11"/>
        <color theme="1"/>
        <rFont val="Calibri"/>
        <family val="2"/>
        <scheme val="minor"/>
      </rPr>
      <t xml:space="preserve">
Step 12: TR004 (Time Reporting) - Depends on TR103 accumulated extract
Step 13: TR005 (Deviation Reports) - Depends on TR004 deviation files
Step 14: TR029 (Detail Reports) - Depends on accumulated extract files
Step 15: TR048 (Part Time/Temporary Hours Worked) - Independent report generation
Step 16: TR128 (Management Sick Leave Balance Report) - Uses UE sick output                                               </t>
    </r>
    <r>
      <rPr>
        <b/>
        <sz val="11"/>
        <color theme="1"/>
        <rFont val="Calibri"/>
        <family val="2"/>
        <scheme val="minor"/>
      </rPr>
      <t>Parallel Program Run</t>
    </r>
    <r>
      <rPr>
        <sz val="11"/>
        <color theme="1"/>
        <rFont val="Calibri"/>
        <family val="2"/>
        <scheme val="minor"/>
      </rPr>
      <t xml:space="preserve">: </t>
    </r>
    <r>
      <rPr>
        <b/>
        <sz val="11"/>
        <color rgb="FF00B050"/>
        <rFont val="Calibri"/>
        <family val="2"/>
        <scheme val="minor"/>
      </rPr>
      <t>TR004 should complete first then TR005,TR029,TR048 and TR128 can all run in parallel as they dont have Table/File Contention .</t>
    </r>
    <r>
      <rPr>
        <sz val="11"/>
        <color theme="1"/>
        <rFont val="Calibri"/>
        <family val="2"/>
        <scheme val="minor"/>
      </rPr>
      <t xml:space="preserve">       </t>
    </r>
  </si>
  <si>
    <r>
      <rPr>
        <b/>
        <sz val="11"/>
        <color theme="1"/>
        <rFont val="Calibri"/>
        <family val="2"/>
        <scheme val="minor"/>
      </rPr>
      <t>Partially yes</t>
    </r>
    <r>
      <rPr>
        <sz val="11"/>
        <color theme="1"/>
        <rFont val="Calibri"/>
        <family val="2"/>
        <scheme val="minor"/>
      </rPr>
      <t>: In Group 2 , Only TR052 can run in parallel with TR039 or  TR051                                     In Group 5, TR005,TR029,TR048 and TR128 can run in parallel</t>
    </r>
  </si>
  <si>
    <t>Reports Jobs</t>
  </si>
  <si>
    <t>YES</t>
  </si>
  <si>
    <t>NO</t>
  </si>
  <si>
    <t>Main Program</t>
  </si>
  <si>
    <t xml:space="preserve">Sub Program1 </t>
  </si>
  <si>
    <t xml:space="preserve">Sub Program2 </t>
  </si>
  <si>
    <t xml:space="preserve">Sub Program3 </t>
  </si>
  <si>
    <t xml:space="preserve">Sub Program4 </t>
  </si>
  <si>
    <t>TR33115</t>
  </si>
  <si>
    <t>-</t>
  </si>
  <si>
    <t>TR33136</t>
  </si>
  <si>
    <t>TR33401/TR33408</t>
  </si>
  <si>
    <t xml:space="preserve">Sub Program l1 </t>
  </si>
  <si>
    <t xml:space="preserve">Sub Program L2 </t>
  </si>
  <si>
    <t>TR33101,TR33103,TR33201,TR33200,TR33112</t>
  </si>
  <si>
    <t>TR411(1)
TR420(1)</t>
  </si>
  <si>
    <t>TR33101,TR33103,TR33200</t>
  </si>
  <si>
    <t>TR33201,TR33206</t>
  </si>
  <si>
    <t>TR33101,TR33103,TR33201,TR33206,TR33112</t>
  </si>
  <si>
    <t>TR33103,TR33201,TR33200,TR33112</t>
  </si>
  <si>
    <t>TR33201,TR33200</t>
  </si>
  <si>
    <t xml:space="preserve">TR411
</t>
  </si>
  <si>
    <t>TR33101,TR33103,TR33201,TR33206</t>
  </si>
  <si>
    <t>TR33103,TR33201,TR33112</t>
  </si>
  <si>
    <t>TR33103</t>
  </si>
  <si>
    <t>TR420(1)
TR426(2)</t>
  </si>
  <si>
    <t>TR415(1)</t>
  </si>
  <si>
    <t>TR416(1)</t>
  </si>
  <si>
    <t>TR421(1)</t>
  </si>
  <si>
    <t>TR422(1)</t>
  </si>
  <si>
    <t>TR423(1)</t>
  </si>
  <si>
    <t>TR33440,TR33451</t>
  </si>
  <si>
    <t>TR33201,TR33112</t>
  </si>
  <si>
    <t>S No</t>
  </si>
  <si>
    <t>Report Code</t>
  </si>
  <si>
    <t>Report description</t>
  </si>
  <si>
    <t>Schedule</t>
  </si>
  <si>
    <t>Vista Archived</t>
  </si>
  <si>
    <t>Notes</t>
  </si>
  <si>
    <t>TR33706C</t>
  </si>
  <si>
    <t>ACTUAL TIME EXTRACT ERROR REPORT</t>
  </si>
  <si>
    <t>Daily</t>
  </si>
  <si>
    <t>TR33706E</t>
  </si>
  <si>
    <t>Exec</t>
  </si>
  <si>
    <t>TR33708C</t>
  </si>
  <si>
    <t>TRIS ACTUAL TIME ERROR REPORT</t>
  </si>
  <si>
    <t>Daily/Contract</t>
  </si>
  <si>
    <t>TR33708E</t>
  </si>
  <si>
    <t>TR33700C</t>
  </si>
  <si>
    <t>DAILY PROD EARNINGS PROOF</t>
  </si>
  <si>
    <t>TR33700F</t>
  </si>
  <si>
    <t>This sheet contains all the Mainframe Reports and indicates which COBOL Program generates that report.</t>
  </si>
  <si>
    <t>TR33700P</t>
  </si>
  <si>
    <t>TR33700E</t>
  </si>
  <si>
    <t>TR33703C</t>
  </si>
  <si>
    <t>DAILY PROD DEVIATION REPORT</t>
  </si>
  <si>
    <t>TR33710</t>
  </si>
  <si>
    <t>TRIS EMPLOYEE CHANGES REPORT</t>
  </si>
  <si>
    <t xml:space="preserve">Daily </t>
  </si>
  <si>
    <t>TR33711</t>
  </si>
  <si>
    <t>TRIS EXCEPTIONS/ERROR REPORT</t>
  </si>
  <si>
    <t>TR33733</t>
  </si>
  <si>
    <t>SENIORITY CHANGES AND ERRORS</t>
  </si>
  <si>
    <t>TR33714</t>
  </si>
  <si>
    <t>JOB TABLE MAINTENANCE ERROR REPORT</t>
  </si>
  <si>
    <t>TR33715</t>
  </si>
  <si>
    <t>ASSOCIATION TABLE MAINTENANCE ERROR Report</t>
  </si>
  <si>
    <t>WEEKLY WG SCHEDULE / COMMENTS</t>
  </si>
  <si>
    <t>N/A</t>
  </si>
  <si>
    <t>EMPLOYEE WORK SCHEDULE</t>
  </si>
  <si>
    <t>TR33709C</t>
  </si>
  <si>
    <t>TRIS ADJUSTMENTS ERROR REPORT</t>
  </si>
  <si>
    <t>TR33709E</t>
  </si>
  <si>
    <t>TR33721,TR33722</t>
  </si>
  <si>
    <t>OT CANVAS REPORT</t>
  </si>
  <si>
    <t>TR33701C</t>
  </si>
  <si>
    <t>REPORTED TIME ADJUSTMENTS</t>
  </si>
  <si>
    <t>Contract</t>
  </si>
  <si>
    <t>TR33701E</t>
  </si>
  <si>
    <t>TR33729C</t>
  </si>
  <si>
    <t>TR33729E</t>
  </si>
  <si>
    <t>TR33789</t>
  </si>
  <si>
    <t xml:space="preserve">SICK LEAVE SUMMARY REPORT BY BUDGET </t>
  </si>
  <si>
    <t>TR33738</t>
  </si>
  <si>
    <t>CIPS 702 SICK LEAVE YTD DETAIL REPORT</t>
  </si>
  <si>
    <t>TR33739</t>
  </si>
  <si>
    <t>CIPS 702 SICK LEAVE YTD SUMMARY REPORT</t>
  </si>
  <si>
    <t>TR33763</t>
  </si>
  <si>
    <t>TR33728</t>
  </si>
  <si>
    <t>S T O R E  D E P A R T M E N T  O V E R T I M E  H O U R S</t>
  </si>
  <si>
    <t>TR33775</t>
  </si>
  <si>
    <t>YTD SICK LEAVE SUMMARY</t>
  </si>
  <si>
    <t>Quarterly</t>
  </si>
  <si>
    <t>TR33731</t>
  </si>
  <si>
    <t xml:space="preserve">PAYSHEET MEMO REPORT </t>
  </si>
  <si>
    <t>TR33782</t>
  </si>
  <si>
    <t>ANNUAL SUMMARY BY SYMBOL CODE</t>
  </si>
  <si>
    <t>TR33783</t>
  </si>
  <si>
    <t xml:space="preserve">ANNUAL SUMMARY LEAVE AND PERSONAL TIME   </t>
  </si>
  <si>
    <t>TR33784</t>
  </si>
  <si>
    <t>ANNUAL ROUGH SMOOTH VACATION RELIEF</t>
  </si>
  <si>
    <t>TR33786</t>
  </si>
  <si>
    <t>ANNUAL VACATION SUMMARY</t>
  </si>
  <si>
    <t>TR33780C</t>
  </si>
  <si>
    <t>CONTRACT FINAL SICK LEAVE REPRT</t>
  </si>
  <si>
    <t>TR33780E</t>
  </si>
  <si>
    <t>EXECUTIVE FINAL SICK LEAVE REPRT</t>
  </si>
  <si>
    <t>TR33781C</t>
  </si>
  <si>
    <t xml:space="preserve">CONTRACT DLY/PRLM SICK LEAVE RPT </t>
  </si>
  <si>
    <t>TR33754</t>
  </si>
  <si>
    <t xml:space="preserve">SENIORITY REPORT FROM TRIS WINDOW </t>
  </si>
  <si>
    <t>TR33794</t>
  </si>
  <si>
    <t>LOCAL UNION SENIORITY</t>
  </si>
  <si>
    <t>TR33797</t>
  </si>
  <si>
    <t xml:space="preserve"> ASSOCIATIONS TABLE DATA ISSUES</t>
  </si>
  <si>
    <t xml:space="preserve">Daily  </t>
  </si>
  <si>
    <t>TR33749</t>
  </si>
  <si>
    <t xml:space="preserve">EXECUTIVE QUARTERLY OVERTIME REPORT </t>
  </si>
  <si>
    <t>TR33766</t>
  </si>
  <si>
    <t>TR33767</t>
  </si>
  <si>
    <t>LOCAL UNION 148-SENIORITY LIST</t>
  </si>
  <si>
    <t>TR33768A</t>
  </si>
  <si>
    <t>LOCAL UNION 1455-SENIORITY LIST</t>
  </si>
  <si>
    <t>TR33768B</t>
  </si>
  <si>
    <t>LOCAL UNION 1439-SENIORITY LIST</t>
  </si>
  <si>
    <t>TR33768C</t>
  </si>
  <si>
    <t>LOCAL UNION 309-SENIORITY LIST</t>
  </si>
  <si>
    <t>TR33768D</t>
  </si>
  <si>
    <t>LOCAL UNION 649-SENIORITY LIST</t>
  </si>
  <si>
    <t>TR33774</t>
  </si>
  <si>
    <t xml:space="preserve">EMPLOYEES FOR SICK LEAVE REVIEW </t>
  </si>
  <si>
    <t>TR33776</t>
  </si>
  <si>
    <t>ANNUAL SICK LEAVE HOURS BY UNION</t>
  </si>
  <si>
    <t>TR33801</t>
  </si>
  <si>
    <t xml:space="preserve">SICK LEAVE MESSAGES </t>
  </si>
  <si>
    <t>Daily/Contract/NA</t>
  </si>
  <si>
    <t>TR33802</t>
  </si>
  <si>
    <t>TRW HOURS BY LOCATION</t>
  </si>
  <si>
    <t>TR33805</t>
  </si>
  <si>
    <t>TRW HOURS CUMULATIVE BY EMPLOYEE</t>
  </si>
  <si>
    <t>TR33740C</t>
  </si>
  <si>
    <t>CONTRACT VACATION ALLOTMENT</t>
  </si>
  <si>
    <t>TR33740E</t>
  </si>
  <si>
    <t>MANAGEMENT VACATION ALLOTMENT</t>
  </si>
  <si>
    <t>TR33732</t>
  </si>
  <si>
    <t>ANNUAL VACATION CARRY/OVER REPRT</t>
  </si>
  <si>
    <t>TR33809</t>
  </si>
  <si>
    <t xml:space="preserve">Sick Leave FMLA Updates </t>
  </si>
  <si>
    <t>TR33760</t>
  </si>
  <si>
    <t>ACTUAL PROJECT HOURS REPORT</t>
  </si>
  <si>
    <t>TR33761</t>
  </si>
  <si>
    <t>NON-PROJECT ACTUAL HOURS REPORT</t>
  </si>
  <si>
    <t>TR33720</t>
  </si>
  <si>
    <t>OVERTIME ADJUSTMENT REPORT 33720</t>
  </si>
  <si>
    <t>OVERTIME EQUALIZATION REPORT</t>
  </si>
  <si>
    <t>TR33813</t>
  </si>
  <si>
    <t>MANAGEMENT SICK LEAVE BALANCE</t>
  </si>
  <si>
    <t>TR33770</t>
  </si>
  <si>
    <t>YEAR-TO-DATE QUART ABSENCE REPRT</t>
  </si>
  <si>
    <t>TR33814</t>
  </si>
  <si>
    <t>YEARLY ABSENCE REPORT</t>
  </si>
  <si>
    <t>TR33756</t>
  </si>
  <si>
    <t>VACATION SUMMARY REPORT 33756</t>
  </si>
  <si>
    <t>TR33705C</t>
  </si>
  <si>
    <t>HOURS WORKED ON RELIEF JOB</t>
  </si>
  <si>
    <t>TR33774A</t>
  </si>
  <si>
    <t>EMP SICK LEAVE REV-BU-'PA'&amp;'VA'</t>
  </si>
  <si>
    <t>TR33774B</t>
  </si>
  <si>
    <t>EMP SICK LEAVE REV-OTHER UNIONS</t>
  </si>
  <si>
    <t>TR33730</t>
  </si>
  <si>
    <t>Daily/Sunday</t>
  </si>
  <si>
    <t>TR33742</t>
  </si>
  <si>
    <t>HOLIDAY ERROR REPORT</t>
  </si>
  <si>
    <t>TR33777</t>
  </si>
  <si>
    <t>ANNUAL SICK LEAVE ANALYSIS</t>
  </si>
  <si>
    <t>TR33114</t>
  </si>
  <si>
    <t>Trace  (OT Banks Table Maintenance)</t>
  </si>
  <si>
    <t>Need to figure out and identify which program and job is creating this report</t>
  </si>
  <si>
    <t>TR33132</t>
  </si>
  <si>
    <t>Overtime Pre-Overtime</t>
  </si>
  <si>
    <t>As of now to be put in Backlog, as confirmed from the email of James. This is not needed.</t>
  </si>
  <si>
    <t>TR034</t>
  </si>
  <si>
    <t>CREATE DAILY ROSTER</t>
  </si>
  <si>
    <t>As of now to be put in Backlog, as confirmed from the email of James. This is not needed since TR33125 is excluded</t>
  </si>
  <si>
    <t>TR035</t>
  </si>
  <si>
    <t>OT REASON REPORT</t>
  </si>
  <si>
    <t>TI1015</t>
  </si>
  <si>
    <t>SHIFT TRADES BY EMPLOYEE</t>
  </si>
  <si>
    <t>TI1016</t>
  </si>
  <si>
    <t>PRINT PAYROLL ADJUSTMENTS</t>
  </si>
  <si>
    <t>TI1019</t>
  </si>
  <si>
    <t>MONTHLY UNION OVERTIME DETAIL</t>
  </si>
  <si>
    <t>TI1020</t>
  </si>
  <si>
    <t>MONTHLY NON-UNION OVERTIME DETAIL</t>
  </si>
  <si>
    <t>As of now to be put in Backlog, as confirmed from the email of James. This is not needed since PROC TR33135 is excluded.</t>
  </si>
  <si>
    <t>TI0511</t>
  </si>
  <si>
    <t>TR33135</t>
  </si>
  <si>
    <t>Overtime GENCO (CIPS OT Extract)</t>
  </si>
  <si>
    <t>As of now to be put in Backlog, as confirmed from the email of James. This is not needed since PROC TR33121 is excluded</t>
  </si>
  <si>
    <t>TR028</t>
  </si>
  <si>
    <t>TR33121</t>
  </si>
  <si>
    <t>Overtime After Post</t>
  </si>
  <si>
    <t>TR084</t>
  </si>
  <si>
    <t>YTD LABOR HOURS REPORT</t>
  </si>
  <si>
    <t>TR089</t>
  </si>
  <si>
    <t>TERMINATED EMPLOYEES REPORT</t>
  </si>
  <si>
    <t>Endpoint URL</t>
  </si>
  <si>
    <t>Details</t>
  </si>
  <si>
    <t>Addtional details</t>
  </si>
  <si>
    <t>04/14 Status</t>
  </si>
  <si>
    <t>04/15 Status</t>
  </si>
  <si>
    <t>https://tris-dev-batch.ameren.com/api/batch/tr33106/v1/TR014/Report_TR33714</t>
  </si>
  <si>
    <t>https://tris-dev-batch.ameren.com/api/batch/tr33107/v1/TR015_Association/process-maintenance</t>
  </si>
  <si>
    <t>https://tris-dev-batch.ameren.com/api/batch/tr33107/v1/TR085_Association/generate-data-issues-report</t>
  </si>
  <si>
    <t>https://tris-dev-batch.ameren.com/api/batch/tr33102/v1/TR009/RPT33710_RPT33711_RPT33733</t>
  </si>
  <si>
    <t>https://tris-dev-batch.ameren.com/api/batch/tr33102/v1/TR129/Report_TR_Eff_Dates_Updates</t>
  </si>
  <si>
    <t>https://tris-dev-batch.ameren.com/api/batch/tr33136/v1/TI0510_SeniorityAccruals/process-accruals</t>
  </si>
  <si>
    <t>https://tris-dev-batch.ameren.com/api/batch/tr33136/v1/TR127_SeniorityReport/generate-interface-file</t>
  </si>
  <si>
    <t>https://tris-dev-batch.ameren.com/api/batch/tr33115/v1/TI0504_TrbeProcessDate/process-trbe-date</t>
  </si>
  <si>
    <t>https://tris-dev-batch.ameren.com/api/batch/tr33115/v1/TI0503_TrbeMain/process-trbe-main</t>
  </si>
  <si>
    <t>https://tris-dev-batch.ameren.com/api/batch/tr33115/v1/TI0538_TrbeClient/process</t>
  </si>
  <si>
    <t>https://tris-dev-batch.ameren.com/api/batch/tr33115/v1/TI1003_ErrorReport/generate-report</t>
  </si>
  <si>
    <t>https://tris-dev-batch.ameren.com/api/batch/tr33115/v1/TI0508_SundayProcess/update-sunday-date</t>
  </si>
  <si>
    <t>https://tris-dev-batch.ameren.com/api/batch/common/v1/TR001_/TR33103N/execute</t>
  </si>
  <si>
    <t>https://tris-dev-batch.ameren.com/api/batch/common/v1/TR003_/TR33103N/execute</t>
  </si>
  <si>
    <t>https://tris-dev-batch.ameren.com/api/batch/common/v1/TR003C/TR33103N/process-sick-leave-extraction</t>
  </si>
  <si>
    <t>https://tris-dev-batch.ameren.com/api/batch/common/v1/TR004/TR33103N/execute</t>
  </si>
  <si>
    <t>{
  "statusCode": 500,
  "message": "TR004 processing failed for job TR33103N: TR004 failed: File not found in S3: Cobol_Jobs/Common/TR003C/TR003C_Reports/TR33103N/TR.EXTRACTA.CIPS.CONPRELM",
  "timestamp": "2026-04-10T10:27:36.0262362Z"
}</t>
  </si>
  <si>
    <t>s3 path</t>
  </si>
  <si>
    <t>https://tris-dev-batch.ameren.com/api/batch/common/v1/TR005/TR33103N/execute</t>
  </si>
  <si>
    <t>{
  "statusCode": 500,
  "message": "TR005 processing failed for job TR33103N: No deviation records found for job TR33103N. Ensure upstream programs (TR004, TR003, TR003C/TR103, TR106) have run and produced output files.",
  "timestamp": "2026-04-10T10:30:45.0704878Z"
}</t>
  </si>
  <si>
    <t>https://tris-dev-batch.ameren.com/api/batch/common/v1/TR021/TR33103N/execute</t>
  </si>
  <si>
    <t>https://tris-dev-batch.ameren.com/api/batch/common/v1/TR021C/execute?jobName=TR33103N</t>
  </si>
  <si>
    <t>{
  "statusCode": 500,
  "message": "TR021C processing failed for job TR33103N: File not found in S3: Cobol_Jobs/Common/TR050C/TR050C_Reports/TR33103N/TR.SICKB.CIPS.CONPRELM",
  "timestamp": "2026-04-10T10:32:32.2637886Z"
}</t>
  </si>
  <si>
    <t>https://tris-dev-batch.ameren.com/api/batch/common/v1/TR029_AdjustmentReport/execute?jobName=TR33103N</t>
  </si>
  <si>
    <t>{
  "statusCode": 404,
  "message": "Required file not found for TR029 processing: File not found in S3: Cobol_Jobs/Common/TR003C/TR003C_Reports/TR33103N/TR.EXTRACTA.CIPS.CONPRELM",
  "timestamp": "2026-04-10T10:34:19.9631612Z"
}</t>
  </si>
  <si>
    <t>https://tris-dev-batch.ameren.com/api/batch/common/v1/TR033/execute?jobName=TR33103N</t>
  </si>
  <si>
    <t>https://tris-dev-batch.ameren.com/api/batch/common/v1/TR039/execute?jobName=TR33103N</t>
  </si>
  <si>
    <t>https://tris-dev-batch.ameren.com/api/batch/common/v1/TR050/execute?jobName=TR33103N</t>
  </si>
  <si>
    <t>TR050C</t>
  </si>
  <si>
    <t>https://tris-dev-batch.ameren.com/api/batch/common/v1/TR050CSickLeave/execute?jobName=TR33103N</t>
  </si>
  <si>
    <t>{
  "statusCode": 500,
  "message": "TR050C processing failed: File not found in S3: Cobol_Jobs/Common/TR003C/TR003C_Reports/TR33103N/TR.SICKA.CIPS.CONPRELM",
  "timestamp": "2026-04-10T10:37:11.9739451Z"
}</t>
  </si>
  <si>
    <t>https://tris-dev-batch.ameren.com/api/batch/common/v1/TR051_AllowedTime/execute?jobName=TR33103N</t>
  </si>
  <si>
    <t>https://tris-dev-batch.ameren.com/api/batch/common/v1/TR052/TR33103N/execute</t>
  </si>
  <si>
    <t>https://tris-dev-batch.ameren.com/api/batch/common/v1/TR077_SickLeave/TR33103N/execute</t>
  </si>
  <si>
    <t>{
  "statusCode": 500,
  "message": "Error generating report: File not found in S3: Cobol_Jobs/Common/TR021C/TR021C_Reports/TR33103N/TR.OUTPUT.SICK.CIPS.CONPRELM",
  "timestamp": "2026-04-10T10:45:13.1294537Z"
}</t>
  </si>
  <si>
    <t>https://tris-dev-batch.ameren.com/api/batch/tr33103/v1/Tr104SickLeaveCertification/process</t>
  </si>
  <si>
    <t>https://tris-dev-batch.ameren.com/api/batch/common/v1/TR105/TR33103N/execute?uploadToS3=false</t>
  </si>
  <si>
    <t>https://tris-dev-batch.ameren.com/api/batch/common/v1/TR106/TR33103N/execute?uploadToS3=false</t>
  </si>
  <si>
    <t>https://tris-dev-batch.ameren.com/api/batch/common/v1/TR108/TR33103N/execute</t>
  </si>
  <si>
    <t>https://tris-dev-batch.ameren.com/api/batch/tr33103/v1/TR115_FmlaSickLeave</t>
  </si>
  <si>
    <t>https://tris-dev-batch.ameren.com/api/batch/tr33103/v1/Tr117SickLeaveAdjustment</t>
  </si>
  <si>
    <t>https://tris-dev-batch.ameren.com/api/batch/common/v1/TR001_/TR33101N/execute</t>
  </si>
  <si>
    <t>https://tris-dev-batch.ameren.com/api/batch/common/v1/TR003_/TR33101N/execute</t>
  </si>
  <si>
    <t>https://tris-dev-batch.ameren.com/api/batch/common/v1/TR003C/TR33101N/process-sick-leave-extraction</t>
  </si>
  <si>
    <t>https://tris-dev-batch.ameren.com/api/batch/common/v1/TR004/TR33101N/execute</t>
  </si>
  <si>
    <t>{
  "statusCode": 500,
  "message": "TR004 processing failed for job TR33101N: TR004 failed: File not found in S3: Cobol_Jobs/Common/TR003C/TR003C_Reports/TR33101N/TR.EXTRACTA.CIPS.CONDAILY",
  "timestamp": "2026-04-10T12:07:51.7638945Z"
}</t>
  </si>
  <si>
    <t>https://tris-dev-batch.ameren.com/api/batch/common/v1/TR005/TR33101N/execute</t>
  </si>
  <si>
    <t>{
  "statusCode": 500,
  "message": "TR005 processing failed for job TR33101N: No deviation records found for job TR33101N. Ensure upstream programs (TR004, TR003, TR003C/TR103, TR106) have run and produced output files.",
  "timestamp": "2026-04-10T12:08:03.8012653Z"
}</t>
  </si>
  <si>
    <t>https://tris-dev-batch.ameren.com/api/batch/common/v1/TR021/TR33101N/execute</t>
  </si>
  <si>
    <t>https://tris-dev-batch.ameren.com/api/batch/common/v1/TR021C/execute?jobName=TR33101N</t>
  </si>
  <si>
    <t>{
  "statusCode": 500,
  "message": "TR021C processing failed for job TR33101N: File not found in S3: Cobol_Jobs/Common/TR050C/TR050C_Reports/TR33101N/TR.SICKB.CIPS.CONDAILY",
  "timestamp": "2026-04-10T12:10:03.0848049Z"
}</t>
  </si>
  <si>
    <t>https://tris-dev-batch.ameren.com/api/batch/common/v1/TR029_AdjustmentReport/execute?jobName=TR33101N</t>
  </si>
  <si>
    <t>{
  "statusCode": 404,
  "message": "Required file not found for TR029 processing: File not found in S3: Cobol_Jobs/Common/TR003C/TR003C_Reports/TR33101N/TR.EXTRACTA.CIPS.CONDAILY",
  "timestamp": "2026-04-10T12:10:42.5392805Z"
}</t>
  </si>
  <si>
    <t>https://tris-dev-batch.ameren.com/api/batch/common/v1/TR050/execute?jobName=TR33101N</t>
  </si>
  <si>
    <t>https://tris-dev-batch.ameren.com/api/batch/common/v1/TR050CSickLeave/execute?jobName=TR33101N</t>
  </si>
  <si>
    <t>{
  "statusCode": 500,
  "message": "TR050C processing failed: File not found in S3: Cobol_Jobs/Common/TR003C/TR003C_Reports/TR33101N/TR.SICKA.CIPS.CONDAILY",
  "timestamp": "2026-04-10T12:12:20.229734Z"
}</t>
  </si>
  <si>
    <t>https://tris-dev-batch.ameren.com/api/batch/common/v1/TR051_AllowedTime/execute?jobName=TR33101N</t>
  </si>
  <si>
    <t>https://tris-dev-batch.ameren.com/api/batch/common/v1/TR052/TR33101N/execute</t>
  </si>
  <si>
    <t>https://tris-dev-batch.ameren.com/api/batch/common/v1/TR077_SickLeave/TR33101N/execute</t>
  </si>
  <si>
    <t>{
  "statusCode": 500,
  "message": "Error generating report: File not found in S3: Cobol_Jobs/Common/TR021C/TR021C_Reports/TR33101N/TR.OUTPUT.SICK.CIPS.CONDAILY",
  "timestamp": "2026-04-10T12:13:47.9786455Z"
}</t>
  </si>
  <si>
    <t>https://tris-dev-batch.ameren.com/api/batch/common/v1/TR105/TR33101N/execute?uploadToS3=false</t>
  </si>
  <si>
    <t>https://tris-dev-batch.ameren.com/api/batch/common/v1/TR106/TR33101N/execute?uploadToS3=false</t>
  </si>
  <si>
    <t>https://tris-dev-batch.ameren.com/api/batch/common/v1/TR108/TR33101N/execute</t>
  </si>
  <si>
    <t>https://tris-dev-batch.ameren.com/api/batch/common/v1/TR003_/tr33200/execute</t>
  </si>
  <si>
    <t>https://tris-dev-batch.ameren.com/api/batch/common/v1/TR001_/TR33200/execute</t>
  </si>
  <si>
    <t>https://tris-dev-batch.ameren.com/api/batch/common/v1/TR003C/TR33200/process-sick-leave-extraction</t>
  </si>
  <si>
    <t>https://tris-dev-batch.ameren.com/api/batch/common/v1/TR004/TR33200/execute</t>
  </si>
  <si>
    <t>{
  "statusCode": 500,
  "message": "TR004 processing failed for job TR33200: TR004 failed: File not found in S3: Cobol_Jobs/Common/TR003C/TR003C_Reports/TR33200/TR.EXTRACTA.CIPS.CONFINAL",
  "timestamp": "2026-04-10T12:18:43.5176758Z"
}</t>
  </si>
  <si>
    <t>https://tris-dev-batch.ameren.com/api/batch/common/v1/TR005/TR33200/execute</t>
  </si>
  <si>
    <t>https://tris-dev-batch.ameren.com/api/batch/common/v1/TR021/TR33200/execute</t>
  </si>
  <si>
    <t>https://tris-dev-batch.ameren.com/api/batch/common/v1/TR021C/execute?jobName=TR33200</t>
  </si>
  <si>
    <t>{
  "statusCode": 500,
  "message": "TR021C processing failed for job TR33200: File not found in S3: Cobol_Jobs/Common/TR050C/TR050C_Reports/TR33200/TR.SICKB.CIPS.CONFINAL",
  "timestamp": "2026-04-10T12:19:55.5335567Z"
}</t>
  </si>
  <si>
    <t>https://tris-dev-batch.ameren.com/api/batch/common/v1/TR033/execute?jobName=TR33200</t>
  </si>
  <si>
    <t>https://tris-dev-batch.ameren.com/api/batch/common/v1/TR037_/process-contractor-final?commitCount=100</t>
  </si>
  <si>
    <t>https://tris-dev-batch.ameren.com/api/batch/common/v1/TR039/execute?jobName=TR33200</t>
  </si>
  <si>
    <t>https://tris-dev-batch.ameren.com/api/batch/common/v1/TR050/execute?jobName=TR33200</t>
  </si>
  <si>
    <t>https://tris-dev-batch.ameren.com/api/batch/common/v1/TR050CSickLeave/execute?jobName=TR33200</t>
  </si>
  <si>
    <t>{
  "statusCode": 500,
  "message": "TR050C processing failed: File not found in S3: Cobol_Jobs/Common/TR003C/TR003C_Reports/TR33200/TR.SICKA.CIPS.CONFINAL",
  "timestamp": "2026-04-10T12:23:10.6290686Z"
}</t>
  </si>
  <si>
    <t>https://tris-dev-batch.ameren.com/api/batch/common/v1/TR051_AllowedTime/execute?jobName=TR33200</t>
  </si>
  <si>
    <t>https://tris-dev-batch.ameren.com/api/batch/common/v1/TR060_/tr33200/execute</t>
  </si>
  <si>
    <t>{
  "statusCode": 500,
  "message": "TR060 contractor processing failed: Processing failed: File not found in S3: Cobol_Jobs/Common/TR004/TR004_Reports/TR33200/TR.EARN.EXTRACT.CONFINAL",
  "timestamp": "2026-04-10T12:24:27.1874185Z"
}</t>
  </si>
  <si>
    <t>https://tris-dev-batch.ameren.com/api/batch/common/v1/TR052/TR33200/execute</t>
  </si>
  <si>
    <t>https://tris-dev-batch.ameren.com/api/batch/common/v1/TR105/TR33200/execute?uploadToS3=false</t>
  </si>
  <si>
    <t>https://tris-dev-batch.ameren.com/api/batch/common/v1/TR106/TR33200/execute?uploadToS3=false</t>
  </si>
  <si>
    <t>https://tris-dev-batch.ameren.com/api/batch/tr33200/v1/TR131_SickLeaveMessages/process</t>
  </si>
  <si>
    <t>https://tris-dev-batch.ameren.com/api/batch/tr33206/v1/TR109_SickLeave/process-sick-leave-balances</t>
  </si>
  <si>
    <t>https://tris-dev-batch.ameren.com/api/batch/tr33206/v1/TR042_SickLeave/generate-cips-local702-reports</t>
  </si>
  <si>
    <t>{
  "statusCode": 404,
  "message": "TR042 input file not found: File not found in S3: Cobol_Jobs/Common/TR021C/TR021C_Reports/TR33200/ITP.TR.OUTPUT.SICK.CIPS.CONFINAL",
  "timestamp": "2026-04-10T12:28:13.2651617Z"
}</t>
  </si>
  <si>
    <t>https://tris-dev-batch.ameren.com/api/batch/tr33206/v1/TR134_SickLeaveCertification/Sick-Leave-Certification-for-Local-148-12-Hour-Shift-Employees</t>
  </si>
  <si>
    <t>https://tris-dev-batch.ameren.com/api/batch/tr33206/v1/TR107_SickLeaveDataSync/UPDATE-THE-SICK-LEAVE-DETAIL-AND-BANKS</t>
  </si>
  <si>
    <t>https://tris-dev-batch.ameren.com/api/batch/common/v1/TR026_/split-exception-code-contract and https://tris-dev-batch.ameren.com/api/batch/common/v1/TR026_/split-exception-code-executive</t>
  </si>
  <si>
    <t>{
  "statusCode": 500,
  "message": "TR026 processing failed - input file not found: File not found in S3: Cobol_Jobs/Common/TR004/TR004_Reports/TR33200/TR.EARN.EXTRACT.CONFINAL",
  "timestamp": "2026-04-10T12:32:01.1273863Z"
}</t>
  </si>
  <si>
    <t xml:space="preserve"> 2 endpoints - s3</t>
  </si>
  <si>
    <t>https://tris-dev-batch.ameren.com/api/batch/common/v1/TR029_AdjustmentReport/execute?jobName=TR33206</t>
  </si>
  <si>
    <t>{
  "statusCode": 400,
  "message": "Invalid jobName 'TR33200'. Valid values: TR33101N, TR33103N, TR33206, TR33201, TR33112",
  "timestamp": "2026-04-10T12:34:56.9191031Z"
}</t>
  </si>
  <si>
    <t>https://tris-dev-batch.ameren.com/api/batch/common/v1/TR077_SickLeave/TR33206/execute</t>
  </si>
  <si>
    <t>{
  "statusCode": 500,
  "message": "Error generating report: File not found in S3: Cobol_Jobs/Common/TR021C/TR021C_Reports/TR33200/TR.OUTPUT.SICK.CIPS.CONFINAL",
  "timestamp": "2026-04-10T12:30:30.3069075Z"
}</t>
  </si>
  <si>
    <t>https://tris-dev-batch.ameren.com/api/batch/common/v1/TR135_SymbolTime/execute-symbol-time-contract and https://tris-dev-batch.ameren.com/api/batch/common/v1/TR135_SymbolTime/execute-symbol-time-executive</t>
  </si>
  <si>
    <t>{
  "statusCode": 500,
  "message": "TR135 processing failed - CONTRACT RUN: File not found in S3: Cobol_Jobs/Common/TR026/TR026_Reports/TR33206/TR.EXT.ALTIME.CONFINAL",
  "timestamp": "2026-04-10T12:40:19.3670249Z"
}</t>
  </si>
  <si>
    <t>2 endpoints - s3</t>
  </si>
  <si>
    <t>https://tris-dev-batch.ameren.com/api/batch/tr33206/v1/TR136_ReliefHours/execute-relief-hours-processing</t>
  </si>
  <si>
    <t>https://tris-dev-batch.ameren.com/api/batch/tr33206/v1/TR137_ReliefHoursReports/generate-Relief-Hours-Reports</t>
  </si>
  <si>
    <t>https://tris-dev-batch.ameren.com/api/batch/tr33206/v1/TR111_TemporaryReferralWorkers/generate-temporary-referral-workers-reports?detailFlag=N</t>
  </si>
  <si>
    <t>{
  "statusCode": 500,
  "message": "TR111 configuration or S3 error: ReportSettings:TR111:PayPeriodFilePath configuration is missing or empty",
  "timestamp": "2026-04-10T12:36:38.0342462Z"
}</t>
  </si>
  <si>
    <t>https://tris-dev-batch.ameren.com/api/batch/common/v1/TR001_/TR33201/execute</t>
  </si>
  <si>
    <t>https://tris-dev-batch.ameren.com/api/batch/common/v1/TR033/execute?jobName=TR33201</t>
  </si>
  <si>
    <t>https://tris-dev-batch.ameren.com/api/batch/common/v1/TR039/execute?jobName=tr33201</t>
  </si>
  <si>
    <t>https://tris-dev-batch.ameren.com/api/batch/common/v1/TR051_AllowedTime/execute?jobName=tr33201</t>
  </si>
  <si>
    <t>https://tris-dev-batch.ameren.com/api/batch/common/v1/TR052/tr33201/execute</t>
  </si>
  <si>
    <t>https://tris-dev-batch.ameren.com/api/batch/common/v1/TR003_/tr33201/execute</t>
  </si>
  <si>
    <t>https://tris-dev-batch.ameren.com/api/batch/common/v1/TR050/execute?jobName=tr33201</t>
  </si>
  <si>
    <t>https://tris-dev-batch.ameren.com/api/batch/common/v1/TR021/tr33201/execute</t>
  </si>
  <si>
    <t>https://tris-dev-batch.ameren.com/api/batch/common/v1/TR103/tr33201/execute</t>
  </si>
  <si>
    <t>https://tris-dev-batch.ameren.com/api/batch/common/v1/TR004/TR33201/execute</t>
  </si>
  <si>
    <t>https://tris-dev-batch.ameren.com/api/batch/tr33201/v1/TR044_ExecutiveOvertime/process</t>
  </si>
  <si>
    <t>{
  "statusCode": 500,
  "message": "TR044 executive overtime processing failed: Processing failed: File not found in S3: Cobol_Jobs/Common/TR004/TR004_Reports/TR33201/TR.EARN.EXTRACT.EXCFINAL",
  "timestamp": "2026-04-10T12:49:12.2697773Z"
}</t>
  </si>
  <si>
    <t>https://tris-dev-batch.ameren.com/api/batch/common/v1/TR060_/tr33201/execute</t>
  </si>
  <si>
    <t>{
  "statusCode": 500,
  "message": "TR060 executive processing failed: Processing failed: File not found in S3: Cobol_Jobs/Common/TR044/TR044_Reports/TR33201/TR.EXT.OT.CODES.EXCFINAL",
  "timestamp": "2026-04-10T12:55:31.4910708Z"
}</t>
  </si>
  <si>
    <t>https://tris-dev-batch.ameren.com/api/batch/common/v1/TR077_SickLeave/TR33201/execute</t>
  </si>
  <si>
    <t>{
  "statusCode": 500,
  "message": "TR077 - NO DATA TO PROCESS",
  "timestamp": "2026-04-10T12:56:44.0553478Z"
}</t>
  </si>
  <si>
    <t>https://tris-dev-batch.ameren.com/api/batch/common/v1/TR029_AdjustmentReport/execute?jobName=TR33201</t>
  </si>
  <si>
    <t>{
  "statusCode": 500,
  "message": "TR026 processing failed - input file not found: File not found in S3: Cobol_Jobs/Common/TR004/TR004_Reports/TR33200/TR.EARN.EXTRACT.CONFINAL",
  "timestamp": "2026-04-10T12:57:55.7320952Z"
}</t>
  </si>
  <si>
    <t>https://tris-dev-batch.ameren.com/api/batch/common/v1/TR135_SymbolTime/execute-symbol-time-contract</t>
  </si>
  <si>
    <t>2 endpoints, not seperated by job - s3</t>
  </si>
  <si>
    <t>https://tris-dev-batch.ameren.com/api/batch/common/v1/TR005/TR33201/execute</t>
  </si>
  <si>
    <t>{
  "statusCode": 500,
  "message": "TR005 processing failed for job TR33201: No deviation records found for job TR33201. Ensure upstream programs (TR004, TR003, TR003C/TR103, TR106) have run and produced output files.",
  "timestamp": "2026-04-10T13:05:08.3896457Z"
}</t>
  </si>
  <si>
    <t>https://tris-dev-batch.ameren.com/api/batch/common/v1/TR037_/process-executive-final?commitCount=100</t>
  </si>
  <si>
    <t>https://tris-dev-batch.ameren.com/api/batch/tr33108/v1/TR008/process</t>
  </si>
  <si>
    <t>https://tris-dev-batch.ameren.com/api/batch/tr33211/v1/OvertimeReport/generate</t>
  </si>
  <si>
    <t>https://tris-dev-batch.ameren.com/api/batch/tr33311/v1/TR083/generate-report</t>
  </si>
  <si>
    <t>https://tris-dev-batch.ameren.com/api/batch/tr33311/v1/TR090/generate-report</t>
  </si>
  <si>
    <t>https://tris-dev-batch.ameren.com/api/batch/tr33311/v1/TR091/generate-report</t>
  </si>
  <si>
    <t>https://tris-dev-batch.ameren.com/api/batch/tr33311/v1/TR092/generate-report</t>
  </si>
  <si>
    <t>https://tris-dev-batch.ameren.com/api/batch/tr33311/v1/TR093/generate-report</t>
  </si>
  <si>
    <t>https://tris-dev-batch.ameren.com/api/batch/tr33311/v1/TR094/generate-report</t>
  </si>
  <si>
    <t>https://tris-dev-batch.ameren.com/api/batch/tr33137/v1/TI0545/generate-absence-exception-report</t>
  </si>
  <si>
    <t>TR078 (Report1)</t>
  </si>
  <si>
    <t>https://tris-dev-batch.ameren.com/api/batch/tr33137/v1/TR078/generate-report?reportType=1</t>
  </si>
  <si>
    <t>{
  "statusCode": 200,
  "message": "TR078 absence exception report generated successfully - File uploaded to AWS S3",
  "error": null,
  "details": null,
  "timestamp": "2026-04-10T13:10:10.9565297Z"
}</t>
  </si>
  <si>
    <t>TR078 (Report2)</t>
  </si>
  <si>
    <t>https://tris-dev-batch.ameren.com/api/batch/tr33137/v1/TR078/generate-report?reportType=2</t>
  </si>
  <si>
    <t>Not Found</t>
  </si>
  <si>
    <t xml:space="preserve">see only common url </t>
  </si>
  <si>
    <t>TR078 (Report3)</t>
  </si>
  <si>
    <t>https://tris-dev-batch.ameren.com/api/batch/tr33137/v1/TR078/generate-report?reportType=3</t>
  </si>
  <si>
    <t>TR078 (Report4)</t>
  </si>
  <si>
    <t>https://tris-dev-batch.ameren.com/api/batch/tr33137/v1/TR078/generate-report?reportType=4</t>
  </si>
  <si>
    <t>TR078 (Report5)</t>
  </si>
  <si>
    <t>https://tris-dev-batch.ameren.com/api/batch/tr33137/v1/TR078/generate-report?reportType=5</t>
  </si>
  <si>
    <t>https://tris-dev-batch.ameren.com/api/batch/tr33137/v1/TR086/archive-left-service-employees</t>
  </si>
  <si>
    <t>https://tris-dev-batch.ameren.com/api/batch/tr33408/v1/TI0544_SickLeaveSummary/generate</t>
  </si>
  <si>
    <t>Success</t>
  </si>
  <si>
    <t>https://tris-dev-batch.ameren.com/api/batch/tr33408/v1/TR058_SickLeaveSummaryReport/generate</t>
  </si>
  <si>
    <t>https://tris-dev-batch.ameren.com/api/batch/tr33400/v1/TR121/report</t>
  </si>
  <si>
    <t>https://tris-dev-batch.ameren.com/api/batch/tr33400/v1/TR122/report</t>
  </si>
  <si>
    <t>https://tris-dev-batch.ameren.com/api/batch/tr33402/v1/TR095/report</t>
  </si>
  <si>
    <t>https://tris-dev-batch.ameren.com/api/batch/tr33402/v1/TR096/report</t>
  </si>
  <si>
    <t>https://tris-dev-batch.ameren.com/api/batch/tr33402/v1/TR097/report</t>
  </si>
  <si>
    <t>https://tris-dev-batch.ameren.com/api/batch/tr33407/v1/TR087/generate-report</t>
  </si>
  <si>
    <t>https://tris-dev-batch.ameren.com/api/batch/tr33401/v1/TR130/generate</t>
  </si>
  <si>
    <t>TR049 (1)</t>
  </si>
  <si>
    <t>https://tris-dev-batch.ameren.com/api/batch/tr33401/v1/TR049/generate</t>
  </si>
  <si>
    <t>https://tris-dev-batch.ameren.com/api/batch/tr33401/v1/TI0544/extract</t>
  </si>
  <si>
    <t>https://tris-dev-batch.ameren.com/api/batch/tr33401/v1/TR041/generate</t>
  </si>
  <si>
    <t>https://tris-dev-batch.ameren.com/api/batch/tr33401/v1/TR099/generate</t>
  </si>
  <si>
    <t>TR049 (2)</t>
  </si>
  <si>
    <t>1 enpoint is available for TR049</t>
  </si>
  <si>
    <t>Not needed</t>
  </si>
  <si>
    <t>https://tris-dev-batch.ameren.com/api/batch/tr33445/v1/TR114/process</t>
  </si>
  <si>
    <t>https://tris-dev-batch.ameren.com/api/batch/tr33446/v1/TR110_VacationAllotment/Process_Vacation_Allotment</t>
  </si>
  <si>
    <t>https://tris-dev-batch.ameren.com/api/batch/tr33446/v1/TR139_SickLeaveReview/Generate_Sick_Leave_Review_Report</t>
  </si>
  <si>
    <t>https://tris-dev-batch.ameren.com/api/batch/tr33446/v1/TR140_SickLeaveReview/Generate_Sick_Leave_48hour_Threshold_Report</t>
  </si>
  <si>
    <t>https://tris-dev-batch.ameren.com/api/batch/tr33446/v1/TI0543_SickLeaveAnalysis/generate-sick-leave-analysis-report</t>
  </si>
  <si>
    <t>https://tris-dev-batch.ameren.com/api/batch/tr33446/v1/TR070_AnnualSymbolReport/Generate_Annual_Symbol_Summary_Report</t>
  </si>
  <si>
    <t>https://tris-dev-batch.ameren.com/api/batch/tr33446/v1/TR071_LeavePersonalReport/Generate_Annual_Leave_Personal_Report</t>
  </si>
  <si>
    <t>https://tris-dev-batch.ameren.com/api/batch/tr33446/v1/TR072_RoughSmoothVacation/generate</t>
  </si>
  <si>
    <t>https://tris-dev-batch.ameren.com/api/batch/tr33446/v1/TR074_AnnualVacationSummary/Generate_Annual_Vacation_Summary_Report_TR33786</t>
  </si>
  <si>
    <t>https://tris-dev-batch.ameren.com/api/batch/tr33446/v1/TR132_YearlyAbsenceReport/Generate_Yearly_Absence_Report_TR33814</t>
  </si>
  <si>
    <t>https://tris-dev-batch.ameren.com/api/batch/tr33446/v1/TR098_SickLeaveReview/Generate_Sick_Leave_Review_Report</t>
  </si>
  <si>
    <t>https://tris-dev-batch.ameren.com/api/batch/tr33406/v1/SickLeaveReports/generate</t>
  </si>
  <si>
    <t>https://tris-dev-batch.ameren.com/api/batch/tr33442/v1/TI0505_HolidayException/process-all-departments</t>
  </si>
  <si>
    <t>&lt;html&gt;
&lt;head&gt;&lt;title&gt;504 Gateway Time-out&lt;/title&gt;&lt;/head&gt;
&lt;body&gt;
&lt;center&gt;&lt;h1&gt;504 Gateway Time-out&lt;/h1&gt;&lt;/center&gt;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t>
  </si>
  <si>
    <t>Dev is going</t>
  </si>
  <si>
    <t>https://tris-dev-batch.ameren.com/api/batch/tr33442/v1/TI1004_ErrorReport/generate-report</t>
  </si>
  <si>
    <t>https://tris-dev-batch.ameren.com/api/batch/tr33451/v1/TR/process-vacation-allotments</t>
  </si>
  <si>
    <t>https://tris-dev-batch.ameren.com/api/batch/tr33451/v1/TR/validate-rule</t>
  </si>
  <si>
    <t>https://tris-dev-batch.ameren.com/api/batch/tr33000/v1/TR426/process-batch</t>
  </si>
  <si>
    <t>https://tris-dev-batch.ameren.com/api/batch/common/v1/TR001_/TR33112/execute</t>
  </si>
  <si>
    <t>https://tris-dev-batch.ameren.com/api/batch/common/v1/TR003_/tr33112/execute</t>
  </si>
  <si>
    <t>https://tris-dev-batch.ameren.com/api/batch/common/v1/TR004/TR33112/execute</t>
  </si>
  <si>
    <t>https://tris-dev-batch.ameren.com/api/batch/common/v1/TR005/TR33112/execute</t>
  </si>
  <si>
    <t>{
  "statusCode": 500,
  "message": "TR005 processing failed for job TR33112: No deviation records found for job TR33112. Ensure upstream programs (TR004, TR003, TR003C/TR103, TR106) have run and produced output files.",
  "timestamp": "2026-04-10T13:43:30.8267452Z"
}</t>
  </si>
  <si>
    <t>https://tris-dev-batch.ameren.com/api/batch/common/v1/TR021/tr33112/execute</t>
  </si>
  <si>
    <t>https://tris-dev-batch.ameren.com/api/batch/common/v1/TR029_AdjustmentReport/execute?jobName=TR33112</t>
  </si>
  <si>
    <t>https://tris-dev-batch.ameren.com/api/batch/common/v1/TR033/execute?jobName=TR33112</t>
  </si>
  <si>
    <t>{
  "statusCode": 400,
  "message": "Invalid jobName 'TR33112'. Valid values: TR33103N, TR33112N, TR33200, TR33201",
  "timestamp": "2026-04-10T13:44:45.5389669Z"
}</t>
  </si>
  <si>
    <t>https://tris-dev-batch.ameren.com/api/batch/common/v1/TR039/execute?jobName=tr33112</t>
  </si>
  <si>
    <t>https://tris-dev-batch.ameren.com/api/batch/common/v1/TR048_/TR33112/execute</t>
  </si>
  <si>
    <t>https://tris-dev-batch.ameren.com/api/batch/common/v1/TR050/execute?jobName=tr33112</t>
  </si>
  <si>
    <t>https://tris-dev-batch.ameren.com/api/batch/tr33112/v1/TR33112/programs/TR051/execute</t>
  </si>
  <si>
    <t>https://tris-dev-batch.ameren.com/api/batch/common/v1/TR052/tr33112/execute</t>
  </si>
  <si>
    <t>https://tris-dev-batch.ameren.com/api/batch/common/v1/TR103/tr33112/execute</t>
  </si>
  <si>
    <t>https://tris-dev-batch.ameren.com/api/batch/tr33112/v1/TR33112/programs/TR128/execute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</si>
</sst>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Calibri"/>
      <family val="2"/>
      <scheme val="minor"/>
    </font>
    <font>
      <sz val="11"/>
      <color theme="1"/>
      <name val="Calibri"/>
      <scheme val="minor"/>
    </font>
    <font>
      <sz val="11"/>
      <color theme="1"/>
      <name val="Calibri"/>
      <family val="2"/>
      <scheme val="minor"/>
    </font>
    <font>
      <u/>
      <sz val="11"/>
      <color theme="10"/>
      <name val="Calibri"/>
      <family val="2"/>
      <scheme val="minor"/>
    </font>
    <font>
      <sz val="11"/>
      <color rgb="FFFF0000"/>
      <name val="Calibri"/>
      <family val="2"/>
      <scheme val="minor"/>
    </font>
    <font>
      <sz val="11"/>
      <color rgb="FF00B050"/>
      <name val="Calibri"/>
      <family val="2"/>
      <scheme val="minor"/>
    </font>
    <font>
      <sz val="11"/>
      <color rgb="FF00B0F0"/>
      <name val="Calibri"/>
      <family val="2"/>
      <scheme val="minor"/>
    </font>
    <font>
      <b/>
      <sz val="11"/>
      <color theme="1"/>
      <name val="Calibri"/>
      <family val="2"/>
      <scheme val="minor"/>
    </font>
    <font>
      <b/>
      <sz val="18"/>
      <color rgb="FF00B050"/>
      <name val="Calibri"/>
      <family val="2"/>
      <scheme val="minor"/>
    </font>
    <font>
      <sz val="18"/>
      <color rgb="FF00B0F0"/>
      <name val="Calibri"/>
      <family val="2"/>
      <scheme val="minor"/>
    </font>
    <font>
      <sz val="18"/>
      <color rgb="FFFF0000"/>
      <name val="Calibri"/>
      <family val="2"/>
      <scheme val="minor"/>
    </font>
    <font>
      <b/>
      <sz val="18"/>
      <color theme="1"/>
      <name val="Calibri"/>
      <family val="2"/>
      <scheme val="minor"/>
    </font>
    <font>
      <sz val="11"/>
      <color rgb="FF000000"/>
      <name val="Calibri"/>
      <family val="2"/>
      <scheme val="minor"/>
    </font>
    <font>
      <b/>
      <sz val="11"/>
      <color rgb="FFFF0000"/>
      <name val="Calibri"/>
      <family val="2"/>
      <scheme val="minor"/>
    </font>
    <font>
      <sz val="8"/>
      <color rgb="FF000000"/>
      <name val="Verdana"/>
      <family val="2"/>
    </font>
    <font>
      <b/>
      <sz val="18"/>
      <color rgb="FFFF0000"/>
      <name val="Calibri"/>
      <family val="2"/>
      <scheme val="minor"/>
    </font>
    <font>
      <b/>
      <sz val="11"/>
      <color rgb="FF00B050"/>
      <name val="Calibri"/>
      <family val="2"/>
      <scheme val="minor"/>
    </font>
    <font>
      <sz val="11"/>
      <color theme="0"/>
      <name val="Calibri"/>
      <family val="2"/>
      <scheme val="minor"/>
    </font>
    <font>
      <u/>
      <sz val="10"/>
      <color rgb="FFFFFFFF"/>
      <name val="Calibri"/>
    </font>
    <font>
      <u/>
      <sz val="11"/>
      <color theme="0"/>
      <name val="Calibri"/>
      <family val="2"/>
      <scheme val="minor"/>
    </font>
    <font>
      <u/>
      <sz val="10"/>
      <color theme="0"/>
      <name val="Calibri"/>
      <family val="2"/>
    </font>
    <font>
      <u/>
      <sz val="10"/>
      <color rgb="FFFFFFFF"/>
      <name val="Calibri"/>
      <family val="2"/>
    </font>
    <font>
      <u/>
      <sz val="10"/>
      <color rgb="FF000000"/>
      <name val="Calibri"/>
      <family val="2"/>
    </font>
    <font>
      <u/>
      <sz val="10"/>
      <color rgb="FF000000"/>
      <name val="Calibri"/>
    </font>
    <font>
      <sz val="11"/>
      <name val="Calibri"/>
      <family val="2"/>
      <scheme val="minor"/>
    </font>
    <font>
      <b/>
      <sz val="11"/>
      <color theme="0"/>
      <name val="Calibri"/>
      <family val="2"/>
      <scheme val="minor"/>
    </font>
    <font>
      <sz val="11"/>
      <color rgb="FF000000"/>
      <name val="Aptos"/>
      <family val="2"/>
    </font>
    <font>
      <sz val="11"/>
      <color theme="2" tint="-0.249977111117893"/>
      <name val="Calibri"/>
      <family val="2"/>
      <scheme val="minor"/>
    </font>
    <font>
      <sz val="11"/>
      <color rgb="FF000000"/>
      <name val="Aptos Narrow"/>
      <family val="2"/>
    </font>
    <font>
      <sz val="11"/>
      <color rgb="FF000000"/>
      <name val="Calibri"/>
      <scheme val="minor"/>
    </font>
    <font>
      <b/>
      <sz val="11"/>
      <color rgb="FF000000"/>
      <name val="Calibri"/>
      <scheme val="minor"/>
    </font>
    <font>
      <b/>
      <sz val="11"/>
      <color rgb="FF00B050"/>
      <name val="Calibri"/>
      <scheme val="minor"/>
    </font>
    <font>
      <sz val="11"/>
      <color rgb="FFFF0000"/>
      <name val="Calibri"/>
      <scheme val="minor"/>
    </font>
    <font>
      <b/>
      <sz val="11"/>
      <color rgb="FFFF0000"/>
      <name val="Calibri"/>
      <scheme val="minor"/>
    </font>
    <font>
      <sz val="11"/>
      <color rgb="FFFFFF00"/>
      <name val="Calibri"/>
      <scheme val="minor"/>
    </font>
    <font>
      <b/>
      <sz val="11"/>
      <color rgb="FF92D050"/>
      <name val="Calibri"/>
      <scheme val="minor"/>
    </font>
    <font>
      <sz val="11"/>
      <color rgb="FFFFFFFF"/>
      <name val="Calibri"/>
      <family val="2"/>
      <scheme val="minor"/>
    </font>
    <font>
      <sz val="11"/>
      <color rgb="FF000000"/>
      <name val="Aptos"/>
    </font>
    <font>
      <b/>
      <sz val="12"/>
      <color rgb="FF000000"/>
      <name val="Aptos"/>
      <family val="2"/>
    </font>
    <font>
      <sz val="12"/>
      <color rgb="FF000000"/>
      <name val="Aptos"/>
      <family val="2"/>
    </font>
    <font>
      <sz val="12"/>
      <color rgb="FFFF0000"/>
      <name val="Aptos"/>
      <family val="2"/>
    </font>
    <font>
      <b/>
      <sz val="11"/>
      <color theme="1"/>
      <name val="Calibri"/>
      <family val="2"/>
    </font>
    <font>
      <b/>
      <sz val="11"/>
      <color theme="1"/>
      <name val="Calibri"/>
    </font>
    <font>
      <sz val="11"/>
      <color theme="1"/>
      <name val="Calibri"/>
      <family val="2"/>
    </font>
    <font>
      <sz val="11"/>
      <color rgb="FF242424"/>
      <name val="Aptos Narrow"/>
      <charset val="1"/>
    </font>
    <font>
      <sz val="11"/>
      <color rgb="FF000000"/>
      <name val="Calibri"/>
      <family val="2"/>
    </font>
    <font>
      <sz val="11"/>
      <color rgb="FF00B050"/>
      <name val="Calibri"/>
      <family val="2"/>
    </font>
    <font>
      <sz val="11"/>
      <color rgb="FFFF0000"/>
      <name val="Calibri"/>
      <family val="2"/>
    </font>
    <font>
      <sz val="11"/>
      <color rgb="FF00B0F0"/>
      <name val="Calibri"/>
      <family val="2"/>
    </font>
    <font>
      <b/>
      <sz val="11"/>
      <color rgb="FF000000"/>
      <name val="Calibri"/>
      <family val="2"/>
    </font>
    <font>
      <b/>
      <sz val="11"/>
      <color rgb="FFFF0000"/>
      <name val="Calibri"/>
      <family val="2"/>
    </font>
    <font>
      <b/>
      <sz val="11"/>
      <color rgb="FF00B050"/>
      <name val="Calibri"/>
      <family val="2"/>
    </font>
    <font>
      <b/>
      <sz val="11"/>
      <color rgb="FF000000"/>
      <name val="Calibri"/>
    </font>
    <font>
      <sz val="11"/>
      <color rgb="FF000000"/>
      <name val="Calibri"/>
    </font>
    <font>
      <sz val="11"/>
      <color rgb="FF00B050"/>
      <name val="Calibri"/>
    </font>
    <font>
      <sz val="11"/>
      <color rgb="FFFF0000"/>
      <name val="Calibri"/>
    </font>
    <font>
      <sz val="11"/>
      <color rgb="FF00B0F0"/>
      <name val="Calibri"/>
    </font>
    <font>
      <u/>
      <sz val="11"/>
      <color rgb="FF0563C1"/>
      <name val="Calibri"/>
    </font>
    <font>
      <sz val="18"/>
      <color rgb="FFFF0000"/>
      <name val="Calibri"/>
    </font>
    <font>
      <sz val="8"/>
      <color rgb="FF000000"/>
      <name val="Verdana"/>
    </font>
    <font>
      <b/>
      <sz val="11"/>
      <color rgb="FFFF0000"/>
      <name val="Calibri"/>
    </font>
    <font>
      <b/>
      <sz val="11"/>
      <color rgb="FF000000"/>
      <name val="Calibri"/>
      <family val="2"/>
      <scheme val="minor"/>
    </font>
  </fonts>
  <fills count="4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4472C4"/>
        <bgColor rgb="FF4472C4"/>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5B9BD5"/>
        <bgColor rgb="FF5B9BD5"/>
      </patternFill>
    </fill>
    <fill>
      <patternFill patternType="solid">
        <fgColor rgb="FF70AD47"/>
        <bgColor rgb="FF70AD47"/>
      </patternFill>
    </fill>
    <fill>
      <patternFill patternType="solid">
        <fgColor rgb="FF9B59B6"/>
        <bgColor rgb="FF9B59B6"/>
      </patternFill>
    </fill>
    <fill>
      <patternFill patternType="solid">
        <fgColor rgb="FFFF6384"/>
        <bgColor rgb="FFFF6384"/>
      </patternFill>
    </fill>
    <fill>
      <patternFill patternType="solid">
        <fgColor rgb="FF00B0F0"/>
        <bgColor rgb="FF00B0F0"/>
      </patternFill>
    </fill>
    <fill>
      <patternFill patternType="solid">
        <fgColor rgb="FFBF8F00"/>
        <bgColor rgb="FFBF8F00"/>
      </patternFill>
    </fill>
    <fill>
      <patternFill patternType="solid">
        <fgColor theme="0"/>
        <bgColor rgb="FFFFC000"/>
      </patternFill>
    </fill>
    <fill>
      <patternFill patternType="solid">
        <fgColor theme="4"/>
        <bgColor indexed="64"/>
      </patternFill>
    </fill>
    <fill>
      <patternFill patternType="solid">
        <fgColor theme="0"/>
        <bgColor rgb="FF000000"/>
      </patternFill>
    </fill>
    <fill>
      <patternFill patternType="solid">
        <fgColor theme="0" tint="-0.249977111117893"/>
        <bgColor indexed="64"/>
      </patternFill>
    </fill>
    <fill>
      <patternFill patternType="solid">
        <fgColor theme="1" tint="0.14999847407452621"/>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DAE9F8"/>
        <bgColor rgb="FF000000"/>
      </patternFill>
    </fill>
    <fill>
      <patternFill patternType="solid">
        <fgColor rgb="FFC1F0C8"/>
        <bgColor rgb="FF000000"/>
      </patternFill>
    </fill>
    <fill>
      <patternFill patternType="solid">
        <fgColor theme="1"/>
        <bgColor indexed="64"/>
      </patternFill>
    </fill>
    <fill>
      <patternFill patternType="solid">
        <fgColor rgb="FFADADAD"/>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rgb="FFE2EFDA"/>
        <bgColor rgb="FF000000"/>
      </patternFill>
    </fill>
    <fill>
      <patternFill patternType="solid">
        <fgColor rgb="FFFFFF00"/>
        <bgColor rgb="FF000000"/>
      </patternFill>
    </fill>
    <fill>
      <patternFill patternType="solid">
        <fgColor rgb="FFFFC000"/>
        <bgColor rgb="FF000000"/>
      </patternFill>
    </fill>
    <fill>
      <patternFill patternType="solid">
        <fgColor theme="8" tint="0.79998168889431442"/>
        <bgColor indexed="64"/>
      </patternFill>
    </fill>
    <fill>
      <patternFill patternType="solid">
        <fgColor theme="4" tint="0.39997558519241921"/>
        <bgColor indexed="64"/>
      </patternFill>
    </fill>
    <fill>
      <patternFill patternType="solid">
        <fgColor rgb="FFFFFFFF"/>
        <bgColor rgb="FF000000"/>
      </patternFill>
    </fill>
    <fill>
      <patternFill patternType="solid">
        <fgColor rgb="FFD9D9D9"/>
        <bgColor rgb="FF000000"/>
      </patternFill>
    </fill>
    <fill>
      <patternFill patternType="solid">
        <fgColor theme="2"/>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rgb="FF8B9399"/>
      </left>
      <right style="medium">
        <color rgb="FF8B9399"/>
      </right>
      <top style="medium">
        <color rgb="FF8B9399"/>
      </top>
      <bottom style="medium">
        <color rgb="FF8B939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indexed="64"/>
      </top>
      <bottom style="thin">
        <color indexed="64"/>
      </bottom>
      <diagonal/>
    </border>
    <border>
      <left/>
      <right/>
      <top/>
      <bottom style="thin">
        <color indexed="64"/>
      </bottom>
      <diagonal/>
    </border>
    <border>
      <left/>
      <right style="medium">
        <color rgb="FF8B9399"/>
      </right>
      <top style="medium">
        <color rgb="FF8B9399"/>
      </top>
      <bottom style="medium">
        <color rgb="FF8B9399"/>
      </bottom>
      <diagonal/>
    </border>
    <border>
      <left style="medium">
        <color rgb="FF8B9399"/>
      </left>
      <right style="medium">
        <color rgb="FF8B9399"/>
      </right>
      <top/>
      <bottom style="medium">
        <color rgb="FF8B9399"/>
      </bottom>
      <diagonal/>
    </border>
  </borders>
  <cellStyleXfs count="3">
    <xf numFmtId="0" fontId="0" fillId="0" borderId="0"/>
    <xf numFmtId="0" fontId="3" fillId="0" borderId="0" applyNumberFormat="0" applyFill="0" applyBorder="0" applyAlignment="0" applyProtection="0"/>
    <xf numFmtId="9" fontId="2" fillId="0" borderId="0" applyFont="0" applyFill="0" applyBorder="0" applyAlignment="0" applyProtection="0"/>
  </cellStyleXfs>
  <cellXfs count="416">
    <xf numFmtId="0" fontId="0" fillId="0" borderId="0" xfId="0"/>
    <xf numFmtId="0" fontId="2" fillId="2" borderId="1" xfId="0" applyFont="1" applyFill="1" applyBorder="1" applyAlignment="1">
      <alignment vertical="top"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0" fontId="10"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vertical="top"/>
    </xf>
    <xf numFmtId="0" fontId="0" fillId="4" borderId="1" xfId="0" applyFill="1" applyBorder="1" applyAlignment="1">
      <alignment vertical="top"/>
    </xf>
    <xf numFmtId="20" fontId="0" fillId="0" borderId="1" xfId="0" applyNumberFormat="1" applyBorder="1" applyAlignment="1">
      <alignment vertical="top"/>
    </xf>
    <xf numFmtId="0" fontId="5" fillId="4" borderId="1" xfId="0" applyFont="1" applyFill="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0" fontId="4" fillId="4" borderId="1" xfId="0" applyFont="1" applyFill="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20" fontId="4" fillId="0" borderId="1" xfId="0" applyNumberFormat="1" applyFont="1" applyBorder="1" applyAlignment="1">
      <alignment vertical="top"/>
    </xf>
    <xf numFmtId="0" fontId="3" fillId="0" borderId="1" xfId="1" applyBorder="1" applyAlignment="1">
      <alignment vertical="top"/>
    </xf>
    <xf numFmtId="0" fontId="0" fillId="3" borderId="1" xfId="0" applyFill="1" applyBorder="1" applyAlignment="1">
      <alignment vertical="top" wrapText="1"/>
    </xf>
    <xf numFmtId="0" fontId="0" fillId="3" borderId="1" xfId="0" applyFill="1" applyBorder="1" applyAlignment="1">
      <alignment vertical="top"/>
    </xf>
    <xf numFmtId="0" fontId="4" fillId="3" borderId="1" xfId="0" applyFont="1" applyFill="1" applyBorder="1" applyAlignment="1">
      <alignment vertical="top"/>
    </xf>
    <xf numFmtId="0" fontId="0" fillId="2" borderId="1" xfId="0" applyFill="1" applyBorder="1" applyAlignment="1">
      <alignment vertical="top"/>
    </xf>
    <xf numFmtId="0" fontId="4" fillId="2" borderId="1" xfId="0" applyFont="1" applyFill="1" applyBorder="1" applyAlignment="1">
      <alignment vertical="top"/>
    </xf>
    <xf numFmtId="0" fontId="14" fillId="0" borderId="1" xfId="0" applyFont="1" applyBorder="1" applyAlignment="1">
      <alignment vertical="top" wrapText="1"/>
    </xf>
    <xf numFmtId="0" fontId="5" fillId="2" borderId="1" xfId="0" applyFont="1" applyFill="1" applyBorder="1" applyAlignment="1">
      <alignment vertical="top" wrapText="1"/>
    </xf>
    <xf numFmtId="0" fontId="5" fillId="2" borderId="1" xfId="0" applyFont="1" applyFill="1" applyBorder="1" applyAlignment="1">
      <alignment vertical="top"/>
    </xf>
    <xf numFmtId="0" fontId="12" fillId="4" borderId="1" xfId="0" applyFont="1" applyFill="1" applyBorder="1" applyAlignment="1">
      <alignment vertical="top"/>
    </xf>
    <xf numFmtId="0" fontId="12" fillId="2" borderId="1" xfId="0" applyFont="1" applyFill="1" applyBorder="1" applyAlignment="1">
      <alignment vertical="top" wrapText="1"/>
    </xf>
    <xf numFmtId="0" fontId="12" fillId="2" borderId="1" xfId="0" applyFont="1" applyFill="1" applyBorder="1" applyAlignment="1">
      <alignment vertical="top"/>
    </xf>
    <xf numFmtId="20" fontId="5" fillId="2" borderId="1" xfId="0" applyNumberFormat="1" applyFont="1" applyFill="1" applyBorder="1" applyAlignment="1">
      <alignment vertical="top"/>
    </xf>
    <xf numFmtId="20" fontId="5" fillId="0" borderId="1" xfId="0" applyNumberFormat="1" applyFont="1" applyBorder="1" applyAlignment="1">
      <alignment vertical="top"/>
    </xf>
    <xf numFmtId="0" fontId="5" fillId="3" borderId="1" xfId="0" applyFont="1" applyFill="1" applyBorder="1" applyAlignment="1">
      <alignment vertical="top"/>
    </xf>
    <xf numFmtId="0" fontId="5" fillId="3" borderId="1" xfId="0" applyFont="1" applyFill="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20" fontId="6" fillId="0" borderId="1" xfId="0" applyNumberFormat="1" applyFont="1" applyBorder="1" applyAlignment="1">
      <alignment vertical="top"/>
    </xf>
    <xf numFmtId="0" fontId="0" fillId="2" borderId="1" xfId="0" applyFill="1" applyBorder="1" applyAlignment="1">
      <alignment horizontal="left" vertical="top" wrapText="1"/>
    </xf>
    <xf numFmtId="0" fontId="13" fillId="0" borderId="1" xfId="0" applyFont="1" applyBorder="1" applyAlignment="1">
      <alignment vertical="top" wrapText="1"/>
    </xf>
    <xf numFmtId="0" fontId="7" fillId="0" borderId="1" xfId="0" applyFont="1" applyBorder="1" applyAlignment="1">
      <alignment vertical="top" wrapText="1"/>
    </xf>
    <xf numFmtId="0" fontId="0" fillId="0" borderId="0" xfId="0" applyAlignment="1">
      <alignment wrapText="1"/>
    </xf>
    <xf numFmtId="0" fontId="7" fillId="7" borderId="1" xfId="0" applyFont="1" applyFill="1" applyBorder="1" applyAlignment="1">
      <alignment horizontal="center" vertical="top" wrapText="1"/>
    </xf>
    <xf numFmtId="0" fontId="14" fillId="6" borderId="2" xfId="0" applyFont="1" applyFill="1" applyBorder="1" applyAlignment="1">
      <alignment horizontal="left" vertical="top" wrapText="1"/>
    </xf>
    <xf numFmtId="0" fontId="0" fillId="0" borderId="1" xfId="0" applyBorder="1" applyAlignment="1">
      <alignment horizontal="center" vertical="top" wrapText="1"/>
    </xf>
    <xf numFmtId="0" fontId="19" fillId="8" borderId="6" xfId="1" applyFont="1" applyFill="1" applyBorder="1" applyAlignment="1">
      <alignment vertical="top" wrapText="1"/>
    </xf>
    <xf numFmtId="0" fontId="20" fillId="8" borderId="6" xfId="0" applyFont="1" applyFill="1" applyBorder="1" applyAlignment="1">
      <alignment vertical="top" wrapText="1"/>
    </xf>
    <xf numFmtId="0" fontId="21" fillId="9" borderId="6" xfId="0" applyFont="1" applyFill="1" applyBorder="1" applyAlignment="1">
      <alignment vertical="top" wrapText="1"/>
    </xf>
    <xf numFmtId="0" fontId="22" fillId="10" borderId="6" xfId="0" applyFont="1" applyFill="1" applyBorder="1" applyAlignment="1">
      <alignment vertical="top" wrapText="1"/>
    </xf>
    <xf numFmtId="0" fontId="22" fillId="11" borderId="6" xfId="0" applyFont="1" applyFill="1" applyBorder="1" applyAlignment="1">
      <alignment vertical="top" wrapText="1"/>
    </xf>
    <xf numFmtId="0" fontId="23" fillId="11" borderId="6" xfId="0" applyFont="1" applyFill="1" applyBorder="1" applyAlignment="1">
      <alignment vertical="top" wrapText="1"/>
    </xf>
    <xf numFmtId="0" fontId="18" fillId="12" borderId="6" xfId="0" applyFont="1" applyFill="1" applyBorder="1" applyAlignment="1">
      <alignment vertical="top" wrapText="1"/>
    </xf>
    <xf numFmtId="0" fontId="18" fillId="14" borderId="6" xfId="0" applyFont="1" applyFill="1" applyBorder="1" applyAlignment="1">
      <alignment wrapText="1"/>
    </xf>
    <xf numFmtId="0" fontId="18" fillId="15" borderId="6" xfId="0" applyFont="1" applyFill="1" applyBorder="1" applyAlignment="1">
      <alignment wrapText="1"/>
    </xf>
    <xf numFmtId="0" fontId="23" fillId="16" borderId="6" xfId="0" applyFont="1" applyFill="1" applyBorder="1" applyAlignment="1">
      <alignment vertical="top" wrapText="1"/>
    </xf>
    <xf numFmtId="0" fontId="18" fillId="13" borderId="6" xfId="0" applyFont="1" applyFill="1" applyBorder="1" applyAlignment="1">
      <alignment vertical="top" wrapText="1"/>
    </xf>
    <xf numFmtId="0" fontId="18" fillId="15" borderId="6" xfId="0" applyFont="1" applyFill="1" applyBorder="1" applyAlignment="1">
      <alignment vertical="top" wrapText="1"/>
    </xf>
    <xf numFmtId="0" fontId="18" fillId="14" borderId="6" xfId="0" applyFont="1" applyFill="1" applyBorder="1" applyAlignment="1">
      <alignment vertical="top" wrapText="1"/>
    </xf>
    <xf numFmtId="0" fontId="18" fillId="17" borderId="6" xfId="0" applyFont="1" applyFill="1" applyBorder="1" applyAlignment="1">
      <alignment vertical="top" wrapText="1"/>
    </xf>
    <xf numFmtId="0" fontId="7" fillId="7" borderId="1" xfId="0" applyFont="1" applyFill="1" applyBorder="1" applyAlignment="1">
      <alignment vertical="top"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0" fillId="5" borderId="1" xfId="0" applyFill="1" applyBorder="1" applyAlignment="1">
      <alignment horizontal="center" vertical="top" wrapText="1"/>
    </xf>
    <xf numFmtId="0" fontId="4" fillId="5" borderId="1" xfId="0" applyFont="1" applyFill="1" applyBorder="1" applyAlignment="1">
      <alignment vertical="top" wrapText="1"/>
    </xf>
    <xf numFmtId="0" fontId="4" fillId="5" borderId="1" xfId="0" applyFont="1" applyFill="1" applyBorder="1" applyAlignment="1">
      <alignment horizontal="center" vertical="top" wrapText="1"/>
    </xf>
    <xf numFmtId="0" fontId="7" fillId="5" borderId="1" xfId="0" applyFont="1" applyFill="1" applyBorder="1" applyAlignment="1">
      <alignment vertical="top" wrapText="1"/>
    </xf>
    <xf numFmtId="0" fontId="14" fillId="0" borderId="0" xfId="0" applyFont="1" applyAlignment="1">
      <alignment vertical="top" wrapText="1"/>
    </xf>
    <xf numFmtId="0" fontId="17" fillId="0" borderId="1" xfId="0" applyFont="1" applyBorder="1" applyAlignment="1">
      <alignment vertical="top" wrapText="1"/>
    </xf>
    <xf numFmtId="0" fontId="5" fillId="5" borderId="1" xfId="0" applyFont="1" applyFill="1" applyBorder="1" applyAlignment="1">
      <alignment horizontal="center" vertical="top" wrapText="1"/>
    </xf>
    <xf numFmtId="0" fontId="12" fillId="5" borderId="1" xfId="0" applyFont="1" applyFill="1" applyBorder="1" applyAlignment="1">
      <alignment vertical="top" wrapText="1"/>
    </xf>
    <xf numFmtId="0" fontId="12" fillId="5" borderId="1" xfId="0" applyFont="1" applyFill="1" applyBorder="1" applyAlignment="1">
      <alignment horizontal="center" vertical="top" wrapText="1"/>
    </xf>
    <xf numFmtId="0" fontId="3" fillId="0" borderId="1" xfId="1" applyBorder="1" applyAlignment="1">
      <alignment vertical="top" wrapText="1"/>
    </xf>
    <xf numFmtId="0" fontId="0" fillId="5" borderId="3" xfId="0" applyFill="1" applyBorder="1" applyAlignment="1">
      <alignment horizontal="center" vertical="top" wrapText="1"/>
    </xf>
    <xf numFmtId="0" fontId="4" fillId="5" borderId="3"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vertical="top" wrapText="1"/>
    </xf>
    <xf numFmtId="0" fontId="3" fillId="0" borderId="1" xfId="1" applyBorder="1" applyAlignment="1">
      <alignment horizontal="center" vertical="top" wrapText="1"/>
    </xf>
    <xf numFmtId="0" fontId="7" fillId="7" borderId="1" xfId="0" applyFont="1" applyFill="1" applyBorder="1" applyAlignment="1">
      <alignment horizontal="left" vertical="top" wrapText="1"/>
    </xf>
    <xf numFmtId="20" fontId="0" fillId="5" borderId="1" xfId="0" applyNumberFormat="1" applyFill="1" applyBorder="1" applyAlignment="1">
      <alignment horizontal="left" vertical="top" wrapText="1"/>
    </xf>
    <xf numFmtId="0" fontId="0" fillId="5" borderId="1" xfId="0" applyFill="1" applyBorder="1" applyAlignment="1">
      <alignment horizontal="left" vertical="top" wrapText="1"/>
    </xf>
    <xf numFmtId="0" fontId="12" fillId="5" borderId="1" xfId="0" applyFont="1" applyFill="1" applyBorder="1" applyAlignment="1">
      <alignment horizontal="left" vertical="top" wrapText="1"/>
    </xf>
    <xf numFmtId="0" fontId="0" fillId="0" borderId="1" xfId="0" applyBorder="1" applyAlignment="1">
      <alignment horizontal="left" vertical="top" wrapText="1"/>
    </xf>
    <xf numFmtId="0" fontId="12" fillId="6" borderId="2" xfId="0" applyFont="1" applyFill="1" applyBorder="1" applyAlignment="1">
      <alignment horizontal="left" vertical="top" wrapText="1"/>
    </xf>
    <xf numFmtId="20" fontId="0" fillId="0" borderId="1" xfId="0" applyNumberFormat="1" applyBorder="1" applyAlignment="1">
      <alignment horizontal="left" vertical="top" wrapText="1"/>
    </xf>
    <xf numFmtId="0" fontId="12" fillId="0" borderId="0" xfId="0" applyFont="1" applyAlignment="1">
      <alignment vertical="top" wrapText="1"/>
    </xf>
    <xf numFmtId="0" fontId="0" fillId="0" borderId="4" xfId="0" applyBorder="1" applyAlignment="1">
      <alignment horizontal="left" vertical="top" wrapText="1"/>
    </xf>
    <xf numFmtId="0" fontId="12" fillId="6" borderId="1" xfId="0" applyFont="1" applyFill="1" applyBorder="1" applyAlignment="1">
      <alignment horizontal="left" vertical="top" wrapText="1"/>
    </xf>
    <xf numFmtId="20" fontId="0" fillId="0" borderId="4" xfId="0" applyNumberFormat="1" applyBorder="1" applyAlignment="1">
      <alignment horizontal="left" vertical="top" wrapText="1"/>
    </xf>
    <xf numFmtId="20" fontId="12" fillId="6" borderId="2" xfId="0" applyNumberFormat="1" applyFont="1" applyFill="1" applyBorder="1" applyAlignment="1">
      <alignment horizontal="left" vertical="top" wrapText="1"/>
    </xf>
    <xf numFmtId="0" fontId="12" fillId="0" borderId="1" xfId="0" applyFont="1" applyBorder="1" applyAlignment="1">
      <alignment vertical="top" wrapText="1"/>
    </xf>
    <xf numFmtId="20" fontId="12" fillId="6" borderId="0" xfId="0" applyNumberFormat="1" applyFont="1" applyFill="1" applyAlignment="1">
      <alignment horizontal="left" vertical="top" wrapText="1"/>
    </xf>
    <xf numFmtId="0" fontId="12" fillId="5" borderId="0" xfId="0" applyFont="1" applyFill="1" applyAlignment="1">
      <alignment vertical="top" wrapText="1"/>
    </xf>
    <xf numFmtId="20" fontId="12" fillId="2" borderId="2" xfId="0" applyNumberFormat="1" applyFont="1" applyFill="1" applyBorder="1" applyAlignment="1">
      <alignment horizontal="left" vertical="top" wrapText="1"/>
    </xf>
    <xf numFmtId="0" fontId="6" fillId="2" borderId="1" xfId="0" applyFont="1" applyFill="1" applyBorder="1" applyAlignment="1">
      <alignment vertical="top" wrapText="1"/>
    </xf>
    <xf numFmtId="0" fontId="6" fillId="2" borderId="1" xfId="0" applyFont="1" applyFill="1" applyBorder="1" applyAlignment="1">
      <alignment horizontal="center" vertical="top" wrapText="1"/>
    </xf>
    <xf numFmtId="20" fontId="0" fillId="2" borderId="1" xfId="0" applyNumberFormat="1" applyFill="1" applyBorder="1" applyAlignment="1">
      <alignment horizontal="left" vertical="top" wrapText="1"/>
    </xf>
    <xf numFmtId="0" fontId="22" fillId="18" borderId="6" xfId="0" applyFont="1" applyFill="1" applyBorder="1" applyAlignment="1">
      <alignment vertical="top" wrapText="1"/>
    </xf>
    <xf numFmtId="0" fontId="24" fillId="5" borderId="3" xfId="0" applyFont="1" applyFill="1" applyBorder="1" applyAlignment="1">
      <alignment horizontal="center" vertical="top" wrapText="1"/>
    </xf>
    <xf numFmtId="0" fontId="0" fillId="0" borderId="1" xfId="0" applyBorder="1" applyAlignment="1">
      <alignment horizontal="left"/>
    </xf>
    <xf numFmtId="0" fontId="0" fillId="0" borderId="1" xfId="0" applyBorder="1" applyAlignment="1">
      <alignment vertical="center"/>
    </xf>
    <xf numFmtId="0" fontId="0" fillId="0" borderId="1" xfId="0" applyBorder="1"/>
    <xf numFmtId="0" fontId="0" fillId="0" borderId="3" xfId="0" applyBorder="1" applyAlignment="1">
      <alignment horizontal="left"/>
    </xf>
    <xf numFmtId="0" fontId="0" fillId="0" borderId="8" xfId="0" applyBorder="1" applyAlignment="1">
      <alignment vertical="center"/>
    </xf>
    <xf numFmtId="0" fontId="0" fillId="0" borderId="8" xfId="0" applyBorder="1"/>
    <xf numFmtId="0" fontId="0" fillId="0" borderId="8" xfId="0" applyBorder="1" applyAlignment="1">
      <alignment horizontal="left"/>
    </xf>
    <xf numFmtId="0" fontId="0" fillId="0" borderId="0" xfId="0" applyAlignment="1">
      <alignment horizontal="left"/>
    </xf>
    <xf numFmtId="0" fontId="25" fillId="19" borderId="1" xfId="0" applyFont="1" applyFill="1" applyBorder="1" applyAlignment="1">
      <alignment horizontal="left"/>
    </xf>
    <xf numFmtId="0" fontId="25" fillId="19" borderId="1" xfId="0" applyFont="1" applyFill="1" applyBorder="1"/>
    <xf numFmtId="0" fontId="26" fillId="0" borderId="1" xfId="0" applyFont="1" applyBorder="1"/>
    <xf numFmtId="0" fontId="0" fillId="21" borderId="0" xfId="0" applyFill="1"/>
    <xf numFmtId="0" fontId="25" fillId="22" borderId="0" xfId="0" applyFont="1" applyFill="1" applyAlignment="1">
      <alignment vertical="center"/>
    </xf>
    <xf numFmtId="0" fontId="25" fillId="22" borderId="0" xfId="0" applyFont="1" applyFill="1" applyAlignment="1">
      <alignment vertical="center" wrapText="1"/>
    </xf>
    <xf numFmtId="0" fontId="0" fillId="24" borderId="1" xfId="0" applyFill="1" applyBorder="1" applyAlignment="1">
      <alignment vertical="center"/>
    </xf>
    <xf numFmtId="0" fontId="0" fillId="24" borderId="1" xfId="0" applyFill="1" applyBorder="1" applyAlignment="1">
      <alignment vertical="center" wrapText="1"/>
    </xf>
    <xf numFmtId="0" fontId="27" fillId="21" borderId="0" xfId="0" applyFont="1" applyFill="1"/>
    <xf numFmtId="0" fontId="27" fillId="21" borderId="0" xfId="2" applyNumberFormat="1" applyFont="1" applyFill="1"/>
    <xf numFmtId="49" fontId="0" fillId="24" borderId="1" xfId="0" applyNumberFormat="1" applyFill="1" applyBorder="1" applyAlignment="1">
      <alignment vertical="center" wrapText="1"/>
    </xf>
    <xf numFmtId="49" fontId="0" fillId="24" borderId="1" xfId="0" applyNumberFormat="1" applyFill="1" applyBorder="1" applyAlignment="1">
      <alignment vertical="center"/>
    </xf>
    <xf numFmtId="0" fontId="0" fillId="26" borderId="1" xfId="0" applyFill="1" applyBorder="1" applyAlignment="1">
      <alignment vertical="center"/>
    </xf>
    <xf numFmtId="0" fontId="0" fillId="26" borderId="1" xfId="0" applyFill="1" applyBorder="1" applyAlignment="1">
      <alignment vertical="center" wrapText="1"/>
    </xf>
    <xf numFmtId="49" fontId="0" fillId="26" borderId="1" xfId="0" applyNumberFormat="1" applyFill="1" applyBorder="1" applyAlignment="1">
      <alignment vertical="center" wrapText="1"/>
    </xf>
    <xf numFmtId="0" fontId="0" fillId="26" borderId="1" xfId="0" applyFill="1" applyBorder="1"/>
    <xf numFmtId="0" fontId="26" fillId="26" borderId="1" xfId="0" applyFont="1" applyFill="1" applyBorder="1"/>
    <xf numFmtId="0" fontId="0" fillId="21" borderId="0" xfId="0" applyFill="1" applyAlignment="1">
      <alignment vertical="top"/>
    </xf>
    <xf numFmtId="0" fontId="0" fillId="21" borderId="0" xfId="0" applyFill="1" applyAlignment="1">
      <alignment vertical="top" wrapText="1"/>
    </xf>
    <xf numFmtId="0" fontId="25" fillId="22" borderId="0" xfId="0" applyFont="1" applyFill="1" applyAlignment="1">
      <alignment vertical="top"/>
    </xf>
    <xf numFmtId="0" fontId="25" fillId="22" borderId="0" xfId="0" applyFont="1" applyFill="1" applyAlignment="1">
      <alignment vertical="top" wrapText="1"/>
    </xf>
    <xf numFmtId="0" fontId="0" fillId="24" borderId="1" xfId="0" applyFill="1" applyBorder="1" applyAlignment="1">
      <alignment vertical="top"/>
    </xf>
    <xf numFmtId="0" fontId="0" fillId="24" borderId="1" xfId="0" applyFill="1" applyBorder="1" applyAlignment="1">
      <alignment vertical="top" wrapText="1"/>
    </xf>
    <xf numFmtId="0" fontId="27" fillId="21" borderId="0" xfId="0" applyFont="1" applyFill="1" applyAlignment="1">
      <alignment vertical="top"/>
    </xf>
    <xf numFmtId="0" fontId="27" fillId="21" borderId="0" xfId="2" applyNumberFormat="1" applyFont="1" applyFill="1" applyAlignment="1">
      <alignment vertical="top"/>
    </xf>
    <xf numFmtId="49" fontId="0" fillId="24" borderId="1" xfId="0" applyNumberFormat="1" applyFill="1" applyBorder="1" applyAlignment="1">
      <alignment vertical="top" wrapText="1"/>
    </xf>
    <xf numFmtId="0" fontId="28" fillId="27" borderId="1" xfId="0" applyFont="1" applyFill="1" applyBorder="1" applyAlignment="1">
      <alignment vertical="top" wrapText="1"/>
    </xf>
    <xf numFmtId="0" fontId="28" fillId="27" borderId="1" xfId="0" applyFont="1" applyFill="1" applyBorder="1" applyAlignment="1">
      <alignment wrapText="1"/>
    </xf>
    <xf numFmtId="0" fontId="28" fillId="27" borderId="10" xfId="0" applyFont="1" applyFill="1" applyBorder="1" applyAlignment="1">
      <alignment vertical="top" wrapText="1"/>
    </xf>
    <xf numFmtId="0" fontId="28" fillId="27" borderId="10" xfId="0" applyFont="1" applyFill="1" applyBorder="1" applyAlignment="1">
      <alignment wrapText="1"/>
    </xf>
    <xf numFmtId="49" fontId="0" fillId="24" borderId="1" xfId="0" applyNumberFormat="1" applyFill="1" applyBorder="1" applyAlignment="1">
      <alignment vertical="top"/>
    </xf>
    <xf numFmtId="0" fontId="0" fillId="26" borderId="1" xfId="0" applyFill="1" applyBorder="1" applyAlignment="1">
      <alignment vertical="top"/>
    </xf>
    <xf numFmtId="0" fontId="0" fillId="26" borderId="1" xfId="0" applyFill="1" applyBorder="1" applyAlignment="1">
      <alignment vertical="top" wrapText="1"/>
    </xf>
    <xf numFmtId="0" fontId="28" fillId="28" borderId="10" xfId="0" applyFont="1" applyFill="1" applyBorder="1" applyAlignment="1">
      <alignment vertical="top" wrapText="1"/>
    </xf>
    <xf numFmtId="0" fontId="28" fillId="28" borderId="10" xfId="0" applyFont="1" applyFill="1" applyBorder="1" applyAlignment="1">
      <alignment vertical="top"/>
    </xf>
    <xf numFmtId="49" fontId="0" fillId="26" borderId="1" xfId="0" applyNumberFormat="1" applyFill="1" applyBorder="1" applyAlignment="1">
      <alignment vertical="top" wrapText="1"/>
    </xf>
    <xf numFmtId="0" fontId="36" fillId="29" borderId="8" xfId="0" applyFont="1" applyFill="1" applyBorder="1"/>
    <xf numFmtId="0" fontId="0" fillId="24" borderId="3" xfId="0" applyFill="1" applyBorder="1" applyAlignment="1">
      <alignment vertical="center"/>
    </xf>
    <xf numFmtId="0" fontId="0" fillId="24" borderId="3" xfId="0" applyFill="1" applyBorder="1" applyAlignment="1">
      <alignment vertical="center" wrapText="1"/>
    </xf>
    <xf numFmtId="0" fontId="0" fillId="26" borderId="3" xfId="0" applyFill="1" applyBorder="1" applyAlignment="1">
      <alignment vertical="center" wrapText="1"/>
    </xf>
    <xf numFmtId="0" fontId="0" fillId="26" borderId="3" xfId="0" applyFill="1" applyBorder="1" applyAlignment="1">
      <alignment vertical="center"/>
    </xf>
    <xf numFmtId="0" fontId="0" fillId="26" borderId="3" xfId="0" applyFill="1" applyBorder="1"/>
    <xf numFmtId="0" fontId="37" fillId="26" borderId="1" xfId="0" applyFont="1" applyFill="1" applyBorder="1"/>
    <xf numFmtId="0" fontId="0" fillId="5" borderId="1" xfId="0" applyFill="1" applyBorder="1"/>
    <xf numFmtId="0" fontId="0" fillId="2" borderId="1" xfId="0" applyFill="1" applyBorder="1"/>
    <xf numFmtId="0" fontId="0" fillId="5" borderId="7" xfId="0" applyFill="1" applyBorder="1"/>
    <xf numFmtId="0" fontId="0" fillId="5" borderId="9" xfId="0" applyFill="1" applyBorder="1"/>
    <xf numFmtId="0" fontId="0" fillId="0" borderId="8" xfId="0" applyBorder="1" applyAlignment="1">
      <alignment vertical="top"/>
    </xf>
    <xf numFmtId="0" fontId="0" fillId="0" borderId="8" xfId="0" applyBorder="1" applyAlignment="1">
      <alignment wrapText="1"/>
    </xf>
    <xf numFmtId="49" fontId="0" fillId="24" borderId="8" xfId="0" applyNumberFormat="1" applyFill="1" applyBorder="1" applyAlignment="1">
      <alignment vertical="top" wrapText="1"/>
    </xf>
    <xf numFmtId="0" fontId="38" fillId="30" borderId="1" xfId="0" applyFont="1" applyFill="1" applyBorder="1" applyAlignment="1">
      <alignment vertical="center" wrapText="1"/>
    </xf>
    <xf numFmtId="0" fontId="39" fillId="0" borderId="1" xfId="0" applyFont="1" applyBorder="1" applyAlignment="1">
      <alignment horizontal="right" vertical="center" wrapText="1"/>
    </xf>
    <xf numFmtId="0" fontId="39" fillId="0" borderId="1" xfId="0" applyFont="1" applyBorder="1" applyAlignment="1">
      <alignment vertical="center" wrapText="1"/>
    </xf>
    <xf numFmtId="0" fontId="40" fillId="0" borderId="1" xfId="0" applyFont="1" applyBorder="1" applyAlignment="1">
      <alignment vertical="center" wrapText="1"/>
    </xf>
    <xf numFmtId="0" fontId="41" fillId="0" borderId="1" xfId="0" applyFont="1" applyBorder="1" applyAlignment="1">
      <alignment horizontal="center" vertical="center"/>
    </xf>
    <xf numFmtId="0" fontId="41" fillId="0" borderId="1" xfId="0" applyFont="1" applyBorder="1" applyAlignment="1">
      <alignment horizontal="center" vertical="center" wrapText="1"/>
    </xf>
    <xf numFmtId="0" fontId="41" fillId="0" borderId="7" xfId="0" applyFont="1" applyBorder="1" applyAlignment="1">
      <alignment horizontal="center" vertical="center"/>
    </xf>
    <xf numFmtId="0" fontId="42" fillId="0" borderId="7" xfId="0" applyFont="1" applyBorder="1" applyAlignment="1">
      <alignment horizontal="center" vertical="center"/>
    </xf>
    <xf numFmtId="0" fontId="43" fillId="0" borderId="1" xfId="0" applyFont="1" applyBorder="1" applyAlignment="1">
      <alignment horizontal="center" vertical="center"/>
    </xf>
    <xf numFmtId="0" fontId="43" fillId="0" borderId="3" xfId="0" applyFont="1" applyBorder="1" applyAlignment="1">
      <alignment vertical="center" wrapText="1"/>
    </xf>
    <xf numFmtId="0" fontId="43" fillId="0" borderId="3" xfId="0" applyFont="1" applyBorder="1" applyAlignment="1">
      <alignment horizontal="left" vertical="center" wrapText="1"/>
    </xf>
    <xf numFmtId="0" fontId="3" fillId="0" borderId="3" xfId="1" applyFill="1" applyBorder="1" applyAlignment="1">
      <alignment vertical="center" wrapText="1"/>
    </xf>
    <xf numFmtId="0" fontId="3" fillId="0" borderId="0" xfId="1"/>
    <xf numFmtId="0" fontId="0" fillId="0" borderId="0" xfId="0" applyAlignment="1">
      <alignment vertical="top"/>
    </xf>
    <xf numFmtId="0" fontId="3" fillId="0" borderId="0" xfId="1" applyAlignment="1">
      <alignment horizontal="left" vertical="center" wrapText="1"/>
    </xf>
    <xf numFmtId="49" fontId="0" fillId="31" borderId="8" xfId="0" applyNumberFormat="1" applyFill="1" applyBorder="1" applyAlignment="1">
      <alignment vertical="center" wrapText="1"/>
    </xf>
    <xf numFmtId="0" fontId="0" fillId="31" borderId="15" xfId="0" applyFill="1" applyBorder="1" applyAlignment="1">
      <alignment vertical="center"/>
    </xf>
    <xf numFmtId="0" fontId="44" fillId="31" borderId="8" xfId="0" applyFont="1" applyFill="1" applyBorder="1"/>
    <xf numFmtId="0" fontId="0" fillId="31" borderId="15" xfId="0" applyFill="1" applyBorder="1" applyAlignment="1">
      <alignment vertical="center" wrapText="1"/>
    </xf>
    <xf numFmtId="49" fontId="0" fillId="31" borderId="8" xfId="0" applyNumberFormat="1" applyFill="1" applyBorder="1" applyAlignment="1">
      <alignment vertical="center"/>
    </xf>
    <xf numFmtId="49" fontId="0" fillId="23" borderId="8" xfId="0" applyNumberFormat="1" applyFill="1" applyBorder="1" applyAlignment="1">
      <alignment vertical="center"/>
    </xf>
    <xf numFmtId="0" fontId="0" fillId="23" borderId="15" xfId="0" applyFill="1" applyBorder="1" applyAlignment="1">
      <alignment vertical="center" wrapText="1"/>
    </xf>
    <xf numFmtId="0" fontId="0" fillId="23" borderId="8" xfId="0" applyFill="1" applyBorder="1" applyAlignment="1">
      <alignment vertical="center" wrapText="1"/>
    </xf>
    <xf numFmtId="49" fontId="0" fillId="32" borderId="8" xfId="0" applyNumberFormat="1" applyFill="1" applyBorder="1" applyAlignment="1">
      <alignment vertical="center"/>
    </xf>
    <xf numFmtId="0" fontId="0" fillId="32" borderId="15" xfId="0" applyFill="1" applyBorder="1" applyAlignment="1">
      <alignment vertical="center" wrapText="1"/>
    </xf>
    <xf numFmtId="0" fontId="0" fillId="32" borderId="8" xfId="0" applyFill="1" applyBorder="1" applyAlignment="1">
      <alignment vertical="center" wrapText="1"/>
    </xf>
    <xf numFmtId="49" fontId="0" fillId="34" borderId="8" xfId="0" applyNumberFormat="1" applyFill="1" applyBorder="1" applyAlignment="1">
      <alignment vertical="center" wrapText="1"/>
    </xf>
    <xf numFmtId="0" fontId="0" fillId="34" borderId="15" xfId="0" applyFill="1" applyBorder="1" applyAlignment="1">
      <alignment vertical="center" wrapText="1"/>
    </xf>
    <xf numFmtId="0" fontId="0" fillId="34" borderId="8" xfId="0" applyFill="1" applyBorder="1" applyAlignment="1">
      <alignment vertical="center" wrapText="1"/>
    </xf>
    <xf numFmtId="49" fontId="0" fillId="33" borderId="8" xfId="0" applyNumberFormat="1" applyFill="1" applyBorder="1" applyAlignment="1">
      <alignment vertical="center"/>
    </xf>
    <xf numFmtId="0" fontId="0" fillId="33" borderId="15" xfId="0" applyFill="1" applyBorder="1" applyAlignment="1">
      <alignment vertical="top" wrapText="1"/>
    </xf>
    <xf numFmtId="0" fontId="44" fillId="33" borderId="8" xfId="0" applyFont="1" applyFill="1" applyBorder="1" applyAlignment="1">
      <alignment vertical="center"/>
    </xf>
    <xf numFmtId="49" fontId="0" fillId="33" borderId="8" xfId="0" applyNumberFormat="1" applyFill="1" applyBorder="1" applyAlignment="1">
      <alignment vertical="center" wrapText="1"/>
    </xf>
    <xf numFmtId="0" fontId="0" fillId="33" borderId="15" xfId="0" applyFill="1" applyBorder="1" applyAlignment="1">
      <alignment vertical="center" wrapText="1"/>
    </xf>
    <xf numFmtId="0" fontId="44" fillId="33" borderId="14" xfId="0" applyFont="1" applyFill="1" applyBorder="1" applyAlignment="1">
      <alignment vertical="center"/>
    </xf>
    <xf numFmtId="0" fontId="0" fillId="33" borderId="8" xfId="0" applyFill="1" applyBorder="1" applyAlignment="1">
      <alignment vertical="center" wrapText="1"/>
    </xf>
    <xf numFmtId="49" fontId="0" fillId="35" borderId="8" xfId="0" applyNumberFormat="1" applyFill="1" applyBorder="1" applyAlignment="1">
      <alignment vertical="center"/>
    </xf>
    <xf numFmtId="0" fontId="0" fillId="35" borderId="15" xfId="0" applyFill="1" applyBorder="1" applyAlignment="1">
      <alignment vertical="center"/>
    </xf>
    <xf numFmtId="0" fontId="0" fillId="35" borderId="8" xfId="0" applyFill="1" applyBorder="1" applyAlignment="1">
      <alignment vertical="center"/>
    </xf>
    <xf numFmtId="49" fontId="0" fillId="35" borderId="8" xfId="0" applyNumberFormat="1" applyFill="1" applyBorder="1" applyAlignment="1">
      <alignment vertical="center" wrapText="1"/>
    </xf>
    <xf numFmtId="0" fontId="0" fillId="36" borderId="8" xfId="0" applyFill="1" applyBorder="1" applyAlignment="1">
      <alignment vertical="center"/>
    </xf>
    <xf numFmtId="0" fontId="0" fillId="36" borderId="15" xfId="0" applyFill="1" applyBorder="1" applyAlignment="1">
      <alignment vertical="center" wrapText="1"/>
    </xf>
    <xf numFmtId="0" fontId="0" fillId="36" borderId="8" xfId="0" applyFill="1" applyBorder="1" applyAlignment="1">
      <alignment vertical="center" wrapText="1"/>
    </xf>
    <xf numFmtId="0" fontId="0" fillId="37" borderId="8" xfId="0" applyFill="1" applyBorder="1" applyAlignment="1">
      <alignment vertical="center"/>
    </xf>
    <xf numFmtId="0" fontId="0" fillId="37" borderId="15" xfId="0" applyFill="1" applyBorder="1" applyAlignment="1">
      <alignment vertical="center" wrapText="1"/>
    </xf>
    <xf numFmtId="0" fontId="0" fillId="37" borderId="8" xfId="0" applyFill="1" applyBorder="1" applyAlignment="1">
      <alignment vertical="center" wrapText="1"/>
    </xf>
    <xf numFmtId="0" fontId="0" fillId="37" borderId="15" xfId="0" applyFill="1" applyBorder="1" applyAlignment="1">
      <alignment vertical="center"/>
    </xf>
    <xf numFmtId="49" fontId="0" fillId="38" borderId="8" xfId="0" applyNumberFormat="1" applyFill="1" applyBorder="1" applyAlignment="1">
      <alignment vertical="center" wrapText="1"/>
    </xf>
    <xf numFmtId="0" fontId="0" fillId="38" borderId="15" xfId="0" applyFill="1" applyBorder="1" applyAlignment="1">
      <alignment vertical="center"/>
    </xf>
    <xf numFmtId="0" fontId="0" fillId="38" borderId="8" xfId="0" applyFill="1" applyBorder="1" applyAlignment="1">
      <alignment vertical="center"/>
    </xf>
    <xf numFmtId="0" fontId="0" fillId="38" borderId="15" xfId="0" applyFill="1" applyBorder="1" applyAlignment="1">
      <alignment vertical="center" wrapText="1"/>
    </xf>
    <xf numFmtId="0" fontId="0" fillId="38" borderId="8" xfId="0" applyFill="1" applyBorder="1" applyAlignment="1">
      <alignment vertical="center" wrapText="1"/>
    </xf>
    <xf numFmtId="0" fontId="0" fillId="39" borderId="15" xfId="0" applyFill="1" applyBorder="1" applyAlignment="1">
      <alignment vertical="center" wrapText="1"/>
    </xf>
    <xf numFmtId="0" fontId="0" fillId="39" borderId="8" xfId="0" applyFill="1" applyBorder="1" applyAlignment="1">
      <alignment vertical="center" wrapText="1"/>
    </xf>
    <xf numFmtId="0" fontId="0" fillId="39" borderId="8" xfId="0" applyFill="1" applyBorder="1" applyAlignment="1">
      <alignment vertical="center"/>
    </xf>
    <xf numFmtId="0" fontId="0" fillId="39" borderId="15" xfId="0" applyFill="1" applyBorder="1" applyAlignment="1">
      <alignment vertical="center"/>
    </xf>
    <xf numFmtId="0" fontId="0" fillId="39" borderId="17" xfId="0" applyFill="1" applyBorder="1" applyAlignment="1">
      <alignment vertical="center" wrapText="1"/>
    </xf>
    <xf numFmtId="0" fontId="0" fillId="39" borderId="12" xfId="0" applyFill="1" applyBorder="1" applyAlignment="1">
      <alignment vertical="center" wrapText="1"/>
    </xf>
    <xf numFmtId="0" fontId="7" fillId="19" borderId="0" xfId="0" applyFont="1" applyFill="1"/>
    <xf numFmtId="0" fontId="7" fillId="23" borderId="8" xfId="0" applyFont="1" applyFill="1" applyBorder="1" applyAlignment="1">
      <alignment vertical="center"/>
    </xf>
    <xf numFmtId="0" fontId="7" fillId="32" borderId="8" xfId="0" applyFont="1" applyFill="1" applyBorder="1" applyAlignment="1">
      <alignment vertical="center"/>
    </xf>
    <xf numFmtId="0" fontId="7" fillId="34" borderId="8" xfId="0" applyFont="1" applyFill="1" applyBorder="1" applyAlignment="1">
      <alignment vertical="center"/>
    </xf>
    <xf numFmtId="0" fontId="7" fillId="23" borderId="1" xfId="0" applyFont="1" applyFill="1" applyBorder="1" applyAlignment="1">
      <alignment vertical="center"/>
    </xf>
    <xf numFmtId="0" fontId="12" fillId="26" borderId="1" xfId="0" applyFont="1" applyFill="1" applyBorder="1" applyAlignment="1">
      <alignment vertical="center" wrapText="1"/>
    </xf>
    <xf numFmtId="0" fontId="12" fillId="26" borderId="1" xfId="0" applyFont="1" applyFill="1" applyBorder="1"/>
    <xf numFmtId="0" fontId="7" fillId="2" borderId="1" xfId="0" applyFont="1" applyFill="1" applyBorder="1" applyAlignment="1">
      <alignment horizontal="left"/>
    </xf>
    <xf numFmtId="0" fontId="7" fillId="2" borderId="1" xfId="0" applyFont="1" applyFill="1" applyBorder="1"/>
    <xf numFmtId="0" fontId="7" fillId="2" borderId="7" xfId="0" applyFont="1" applyFill="1" applyBorder="1"/>
    <xf numFmtId="0" fontId="7" fillId="2" borderId="7" xfId="0" applyFont="1" applyFill="1" applyBorder="1" applyAlignment="1">
      <alignment horizontal="left"/>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left"/>
    </xf>
    <xf numFmtId="0" fontId="4" fillId="0" borderId="0" xfId="0" applyFont="1"/>
    <xf numFmtId="0" fontId="4" fillId="0" borderId="7" xfId="0" applyFont="1" applyBorder="1" applyAlignment="1">
      <alignment vertical="center"/>
    </xf>
    <xf numFmtId="0" fontId="4" fillId="0" borderId="7" xfId="0" applyFont="1" applyBorder="1"/>
    <xf numFmtId="0" fontId="4" fillId="0" borderId="7" xfId="0" applyFont="1" applyBorder="1" applyAlignment="1">
      <alignment horizontal="left"/>
    </xf>
    <xf numFmtId="0" fontId="4" fillId="0" borderId="8" xfId="0" applyFont="1" applyBorder="1" applyAlignment="1">
      <alignment vertical="center"/>
    </xf>
    <xf numFmtId="0" fontId="4" fillId="0" borderId="8" xfId="0" applyFont="1" applyBorder="1"/>
    <xf numFmtId="0" fontId="4" fillId="0" borderId="8" xfId="0" applyFont="1" applyBorder="1" applyAlignment="1">
      <alignment horizontal="left"/>
    </xf>
    <xf numFmtId="0" fontId="4" fillId="0" borderId="3" xfId="0" applyFont="1" applyBorder="1" applyAlignment="1">
      <alignment horizontal="left"/>
    </xf>
    <xf numFmtId="0" fontId="12" fillId="0" borderId="1" xfId="0" applyFont="1" applyBorder="1" applyAlignment="1">
      <alignment vertical="center"/>
    </xf>
    <xf numFmtId="0" fontId="12" fillId="20" borderId="1" xfId="0" applyFont="1" applyFill="1" applyBorder="1" applyAlignment="1">
      <alignment vertical="center" wrapText="1"/>
    </xf>
    <xf numFmtId="0" fontId="12" fillId="20" borderId="1" xfId="0" applyFont="1" applyFill="1" applyBorder="1" applyAlignment="1">
      <alignment vertical="center"/>
    </xf>
    <xf numFmtId="0" fontId="12" fillId="0" borderId="1" xfId="0" applyFont="1" applyBorder="1" applyAlignment="1">
      <alignment vertical="center" wrapText="1"/>
    </xf>
    <xf numFmtId="0" fontId="7" fillId="0" borderId="1" xfId="0" applyFont="1" applyBorder="1"/>
    <xf numFmtId="0" fontId="12" fillId="0" borderId="1" xfId="0" applyFont="1" applyBorder="1"/>
    <xf numFmtId="0" fontId="7" fillId="23" borderId="1" xfId="0" applyFont="1" applyFill="1" applyBorder="1" applyAlignment="1">
      <alignment vertical="top"/>
    </xf>
    <xf numFmtId="0" fontId="7" fillId="0" borderId="0" xfId="0" applyFont="1"/>
    <xf numFmtId="0" fontId="7" fillId="5" borderId="1" xfId="0" applyFont="1" applyFill="1" applyBorder="1" applyAlignment="1">
      <alignment horizontal="center" vertical="center"/>
    </xf>
    <xf numFmtId="0" fontId="4" fillId="0" borderId="8" xfId="0" applyFont="1" applyBorder="1" applyAlignment="1">
      <alignment vertical="top"/>
    </xf>
    <xf numFmtId="0" fontId="0" fillId="40" borderId="8" xfId="0" applyFill="1" applyBorder="1"/>
    <xf numFmtId="0" fontId="7" fillId="23" borderId="1" xfId="0" applyFont="1" applyFill="1" applyBorder="1" applyAlignment="1">
      <alignment vertical="top" wrapText="1"/>
    </xf>
    <xf numFmtId="0" fontId="45" fillId="0" borderId="1" xfId="0" applyFont="1" applyBorder="1"/>
    <xf numFmtId="0" fontId="45" fillId="41" borderId="10" xfId="0" applyFont="1" applyFill="1" applyBorder="1"/>
    <xf numFmtId="0" fontId="46" fillId="41" borderId="10" xfId="0" applyFont="1" applyFill="1" applyBorder="1"/>
    <xf numFmtId="0" fontId="47" fillId="41" borderId="10" xfId="0" applyFont="1" applyFill="1" applyBorder="1"/>
    <xf numFmtId="0" fontId="45" fillId="42" borderId="10" xfId="0" applyFont="1" applyFill="1" applyBorder="1"/>
    <xf numFmtId="0" fontId="46" fillId="0" borderId="10" xfId="0" applyFont="1" applyBorder="1"/>
    <xf numFmtId="0" fontId="45" fillId="0" borderId="10" xfId="0" applyFont="1" applyBorder="1"/>
    <xf numFmtId="0" fontId="45" fillId="43" borderId="10" xfId="0" applyFont="1" applyFill="1" applyBorder="1"/>
    <xf numFmtId="0" fontId="47" fillId="0" borderId="10" xfId="0" applyFont="1" applyBorder="1" applyAlignment="1">
      <alignment wrapText="1"/>
    </xf>
    <xf numFmtId="0" fontId="47" fillId="0" borderId="10" xfId="0" applyFont="1" applyBorder="1"/>
    <xf numFmtId="0" fontId="45" fillId="0" borderId="10" xfId="0" applyFont="1" applyBorder="1" applyAlignment="1">
      <alignment wrapText="1"/>
    </xf>
    <xf numFmtId="0" fontId="46" fillId="43" borderId="10" xfId="0" applyFont="1" applyFill="1" applyBorder="1"/>
    <xf numFmtId="0" fontId="48" fillId="0" borderId="10" xfId="0" applyFont="1" applyBorder="1"/>
    <xf numFmtId="0" fontId="0" fillId="44" borderId="8" xfId="0" applyFill="1" applyBorder="1"/>
    <xf numFmtId="0" fontId="0" fillId="40" borderId="12" xfId="0" applyFill="1" applyBorder="1"/>
    <xf numFmtId="0" fontId="0" fillId="45" borderId="8" xfId="0" applyFill="1" applyBorder="1"/>
    <xf numFmtId="0" fontId="0" fillId="44" borderId="12" xfId="0" applyFill="1" applyBorder="1"/>
    <xf numFmtId="49" fontId="0" fillId="39" borderId="16" xfId="0" applyNumberFormat="1" applyFill="1" applyBorder="1" applyAlignment="1">
      <alignment vertical="center" wrapText="1"/>
    </xf>
    <xf numFmtId="49" fontId="0" fillId="39" borderId="18" xfId="0" applyNumberFormat="1" applyFill="1" applyBorder="1" applyAlignment="1">
      <alignment vertical="center" wrapText="1"/>
    </xf>
    <xf numFmtId="0" fontId="0" fillId="40" borderId="16" xfId="0" applyFill="1" applyBorder="1"/>
    <xf numFmtId="0" fontId="0" fillId="40" borderId="18" xfId="0" applyFill="1" applyBorder="1"/>
    <xf numFmtId="0" fontId="0" fillId="32" borderId="8" xfId="0" applyFill="1" applyBorder="1"/>
    <xf numFmtId="0" fontId="0" fillId="45" borderId="12" xfId="0" applyFill="1" applyBorder="1"/>
    <xf numFmtId="0" fontId="52" fillId="0" borderId="4" xfId="0" applyFont="1" applyBorder="1"/>
    <xf numFmtId="0" fontId="52" fillId="47" borderId="10" xfId="0" applyFont="1" applyFill="1" applyBorder="1"/>
    <xf numFmtId="0" fontId="52" fillId="47" borderId="6" xfId="0" applyFont="1" applyFill="1" applyBorder="1" applyAlignment="1">
      <alignment wrapText="1"/>
    </xf>
    <xf numFmtId="0" fontId="52" fillId="47" borderId="6" xfId="0" applyFont="1" applyFill="1" applyBorder="1"/>
    <xf numFmtId="0" fontId="53" fillId="46" borderId="10" xfId="0" applyFont="1" applyFill="1" applyBorder="1"/>
    <xf numFmtId="0" fontId="53" fillId="46" borderId="6" xfId="0" applyFont="1" applyFill="1" applyBorder="1"/>
    <xf numFmtId="0" fontId="53" fillId="46" borderId="6" xfId="0" applyFont="1" applyFill="1" applyBorder="1" applyAlignment="1">
      <alignment wrapText="1"/>
    </xf>
    <xf numFmtId="20" fontId="53" fillId="46" borderId="6" xfId="0" applyNumberFormat="1" applyFont="1" applyFill="1" applyBorder="1" applyAlignment="1">
      <alignment wrapText="1"/>
    </xf>
    <xf numFmtId="0" fontId="54" fillId="46" borderId="10" xfId="0" applyFont="1" applyFill="1" applyBorder="1"/>
    <xf numFmtId="0" fontId="55" fillId="46" borderId="10" xfId="0" applyFont="1" applyFill="1" applyBorder="1"/>
    <xf numFmtId="0" fontId="55" fillId="46" borderId="6" xfId="0" applyFont="1" applyFill="1" applyBorder="1"/>
    <xf numFmtId="0" fontId="53" fillId="0" borderId="6" xfId="0" applyFont="1" applyBorder="1"/>
    <xf numFmtId="0" fontId="53" fillId="0" borderId="6" xfId="0" applyFont="1" applyBorder="1" applyAlignment="1">
      <alignment wrapText="1"/>
    </xf>
    <xf numFmtId="0" fontId="53" fillId="46" borderId="2" xfId="0" applyFont="1" applyFill="1" applyBorder="1" applyAlignment="1">
      <alignment wrapText="1"/>
    </xf>
    <xf numFmtId="0" fontId="53" fillId="0" borderId="10" xfId="0" applyFont="1" applyBorder="1" applyAlignment="1">
      <alignment wrapText="1"/>
    </xf>
    <xf numFmtId="0" fontId="53" fillId="0" borderId="4" xfId="0" applyFont="1" applyBorder="1"/>
    <xf numFmtId="0" fontId="52" fillId="46" borderId="10" xfId="0" applyFont="1" applyFill="1" applyBorder="1"/>
    <xf numFmtId="20" fontId="53" fillId="0" borderId="6" xfId="0" applyNumberFormat="1" applyFont="1" applyBorder="1" applyAlignment="1">
      <alignment wrapText="1"/>
    </xf>
    <xf numFmtId="0" fontId="54" fillId="46" borderId="6" xfId="0" applyFont="1" applyFill="1" applyBorder="1"/>
    <xf numFmtId="0" fontId="52" fillId="46" borderId="6" xfId="0" applyFont="1" applyFill="1" applyBorder="1"/>
    <xf numFmtId="0" fontId="53" fillId="0" borderId="0" xfId="0" applyFont="1"/>
    <xf numFmtId="20" fontId="53" fillId="0" borderId="10" xfId="0" applyNumberFormat="1" applyFont="1" applyBorder="1" applyAlignment="1">
      <alignment wrapText="1"/>
    </xf>
    <xf numFmtId="0" fontId="53" fillId="46" borderId="20" xfId="0" applyFont="1" applyFill="1" applyBorder="1"/>
    <xf numFmtId="0" fontId="53" fillId="0" borderId="10" xfId="0" applyFont="1" applyBorder="1"/>
    <xf numFmtId="0" fontId="55" fillId="46" borderId="20" xfId="0" applyFont="1" applyFill="1" applyBorder="1"/>
    <xf numFmtId="0" fontId="53" fillId="46" borderId="10" xfId="0" applyFont="1" applyFill="1" applyBorder="1" applyAlignment="1">
      <alignment wrapText="1"/>
    </xf>
    <xf numFmtId="20" fontId="53" fillId="46" borderId="21" xfId="0" applyNumberFormat="1" applyFont="1" applyFill="1" applyBorder="1" applyAlignment="1">
      <alignment wrapText="1"/>
    </xf>
    <xf numFmtId="0" fontId="53" fillId="0" borderId="4" xfId="0" applyFont="1" applyBorder="1" applyAlignment="1">
      <alignment wrapText="1"/>
    </xf>
    <xf numFmtId="20" fontId="53" fillId="0" borderId="4" xfId="0" applyNumberFormat="1" applyFont="1" applyBorder="1" applyAlignment="1">
      <alignment wrapText="1"/>
    </xf>
    <xf numFmtId="0" fontId="56" fillId="46" borderId="6" xfId="0" applyFont="1" applyFill="1" applyBorder="1"/>
    <xf numFmtId="0" fontId="56" fillId="46" borderId="10" xfId="0" applyFont="1" applyFill="1" applyBorder="1"/>
    <xf numFmtId="0" fontId="53" fillId="46" borderId="22" xfId="0" applyFont="1" applyFill="1" applyBorder="1" applyAlignment="1">
      <alignment wrapText="1"/>
    </xf>
    <xf numFmtId="20" fontId="53" fillId="46" borderId="2" xfId="0" applyNumberFormat="1" applyFont="1" applyFill="1" applyBorder="1" applyAlignment="1">
      <alignment wrapText="1"/>
    </xf>
    <xf numFmtId="20" fontId="53" fillId="46" borderId="22" xfId="0" applyNumberFormat="1" applyFont="1" applyFill="1" applyBorder="1" applyAlignment="1">
      <alignment wrapText="1"/>
    </xf>
    <xf numFmtId="0" fontId="53" fillId="46" borderId="0" xfId="0" applyFont="1" applyFill="1" applyAlignment="1">
      <alignment wrapText="1"/>
    </xf>
    <xf numFmtId="0" fontId="52" fillId="0" borderId="10" xfId="0" applyFont="1" applyBorder="1"/>
    <xf numFmtId="0" fontId="53" fillId="42" borderId="10" xfId="0" applyFont="1" applyFill="1" applyBorder="1"/>
    <xf numFmtId="0" fontId="53" fillId="42" borderId="6" xfId="0" applyFont="1" applyFill="1" applyBorder="1"/>
    <xf numFmtId="0" fontId="53" fillId="42" borderId="10" xfId="0" applyFont="1" applyFill="1" applyBorder="1" applyAlignment="1">
      <alignment wrapText="1"/>
    </xf>
    <xf numFmtId="0" fontId="53" fillId="42" borderId="6" xfId="0" applyFont="1" applyFill="1" applyBorder="1" applyAlignment="1">
      <alignment wrapText="1"/>
    </xf>
    <xf numFmtId="0" fontId="52" fillId="0" borderId="10" xfId="0" applyFont="1" applyBorder="1" applyAlignment="1">
      <alignment wrapText="1"/>
    </xf>
    <xf numFmtId="0" fontId="3" fillId="0" borderId="10" xfId="1" applyBorder="1"/>
    <xf numFmtId="0" fontId="57" fillId="0" borderId="6" xfId="0" applyFont="1" applyBorder="1"/>
    <xf numFmtId="0" fontId="58" fillId="0" borderId="1" xfId="0" applyFont="1" applyBorder="1" applyAlignment="1">
      <alignment wrapText="1"/>
    </xf>
    <xf numFmtId="0" fontId="53" fillId="41" borderId="10" xfId="0" applyFont="1" applyFill="1" applyBorder="1"/>
    <xf numFmtId="0" fontId="54" fillId="41" borderId="10" xfId="0" applyFont="1" applyFill="1" applyBorder="1"/>
    <xf numFmtId="0" fontId="55" fillId="41" borderId="10" xfId="0" applyFont="1" applyFill="1" applyBorder="1"/>
    <xf numFmtId="0" fontId="54" fillId="0" borderId="10" xfId="0" applyFont="1" applyBorder="1"/>
    <xf numFmtId="0" fontId="53" fillId="43" borderId="10" xfId="0" applyFont="1" applyFill="1" applyBorder="1"/>
    <xf numFmtId="0" fontId="55" fillId="0" borderId="10" xfId="0" applyFont="1" applyBorder="1" applyAlignment="1">
      <alignment wrapText="1"/>
    </xf>
    <xf numFmtId="0" fontId="55" fillId="0" borderId="10" xfId="0" applyFont="1" applyBorder="1"/>
    <xf numFmtId="0" fontId="54" fillId="43" borderId="10" xfId="0" applyFont="1" applyFill="1" applyBorder="1"/>
    <xf numFmtId="0" fontId="56" fillId="0" borderId="10" xfId="0" applyFont="1" applyBorder="1"/>
    <xf numFmtId="0" fontId="57" fillId="0" borderId="10" xfId="0" applyFont="1" applyBorder="1"/>
    <xf numFmtId="0" fontId="53" fillId="0" borderId="1" xfId="0" applyFont="1" applyBorder="1" applyAlignment="1">
      <alignment wrapText="1"/>
    </xf>
    <xf numFmtId="0" fontId="54" fillId="0" borderId="10" xfId="0" applyFont="1" applyBorder="1" applyAlignment="1">
      <alignment wrapText="1"/>
    </xf>
    <xf numFmtId="0" fontId="53" fillId="43" borderId="10" xfId="0" applyFont="1" applyFill="1" applyBorder="1" applyAlignment="1">
      <alignment wrapText="1"/>
    </xf>
    <xf numFmtId="0" fontId="59" fillId="0" borderId="10" xfId="0" applyFont="1" applyBorder="1" applyAlignment="1">
      <alignment wrapText="1"/>
    </xf>
    <xf numFmtId="0" fontId="54" fillId="42" borderId="10" xfId="0" applyFont="1" applyFill="1" applyBorder="1" applyAlignment="1">
      <alignment wrapText="1"/>
    </xf>
    <xf numFmtId="0" fontId="54" fillId="43" borderId="10" xfId="0" applyFont="1" applyFill="1" applyBorder="1" applyAlignment="1">
      <alignment wrapText="1"/>
    </xf>
    <xf numFmtId="0" fontId="56" fillId="0" borderId="10" xfId="0" applyFont="1" applyBorder="1" applyAlignment="1">
      <alignment wrapText="1"/>
    </xf>
    <xf numFmtId="0" fontId="60" fillId="0" borderId="10" xfId="0" applyFont="1" applyBorder="1" applyAlignment="1">
      <alignment wrapText="1"/>
    </xf>
    <xf numFmtId="0" fontId="53" fillId="0" borderId="1" xfId="0" applyFont="1" applyBorder="1"/>
    <xf numFmtId="0" fontId="54" fillId="42" borderId="10" xfId="0" applyFont="1" applyFill="1" applyBorder="1"/>
    <xf numFmtId="0" fontId="3" fillId="42" borderId="10" xfId="1" applyFill="1" applyBorder="1"/>
    <xf numFmtId="0" fontId="3" fillId="43" borderId="10" xfId="1" applyFill="1" applyBorder="1"/>
    <xf numFmtId="0" fontId="54" fillId="0" borderId="6" xfId="0" applyFont="1" applyBorder="1"/>
    <xf numFmtId="0" fontId="55" fillId="0" borderId="6" xfId="0" applyFont="1" applyBorder="1"/>
    <xf numFmtId="0" fontId="53" fillId="43" borderId="6" xfId="0" applyFont="1" applyFill="1" applyBorder="1"/>
    <xf numFmtId="0" fontId="54" fillId="42" borderId="6" xfId="0" applyFont="1" applyFill="1" applyBorder="1"/>
    <xf numFmtId="0" fontId="54" fillId="43" borderId="6" xfId="0" applyFont="1" applyFill="1" applyBorder="1"/>
    <xf numFmtId="0" fontId="56" fillId="0" borderId="6" xfId="0" applyFont="1" applyBorder="1"/>
    <xf numFmtId="0" fontId="55" fillId="43" borderId="6" xfId="0" applyFont="1" applyFill="1" applyBorder="1"/>
    <xf numFmtId="0" fontId="55" fillId="42" borderId="6" xfId="0" applyFont="1" applyFill="1" applyBorder="1"/>
    <xf numFmtId="0" fontId="55" fillId="0" borderId="6" xfId="0" applyFont="1" applyBorder="1" applyAlignment="1">
      <alignment wrapText="1"/>
    </xf>
    <xf numFmtId="0" fontId="56" fillId="0" borderId="6" xfId="0" applyFont="1" applyBorder="1" applyAlignment="1">
      <alignment wrapText="1"/>
    </xf>
    <xf numFmtId="20" fontId="53" fillId="0" borderId="10" xfId="0" applyNumberFormat="1" applyFont="1" applyBorder="1"/>
    <xf numFmtId="0" fontId="54" fillId="0" borderId="6" xfId="0" applyFont="1" applyBorder="1" applyAlignment="1">
      <alignment wrapText="1"/>
    </xf>
    <xf numFmtId="20" fontId="55" fillId="0" borderId="10" xfId="0" applyNumberFormat="1" applyFont="1" applyBorder="1"/>
    <xf numFmtId="0" fontId="53" fillId="43" borderId="6" xfId="0" applyFont="1" applyFill="1" applyBorder="1" applyAlignment="1">
      <alignment wrapText="1"/>
    </xf>
    <xf numFmtId="0" fontId="54" fillId="42" borderId="6" xfId="0" applyFont="1" applyFill="1" applyBorder="1" applyAlignment="1">
      <alignment wrapText="1"/>
    </xf>
    <xf numFmtId="20" fontId="54" fillId="42" borderId="10" xfId="0" applyNumberFormat="1" applyFont="1" applyFill="1" applyBorder="1"/>
    <xf numFmtId="20" fontId="54" fillId="0" borderId="10" xfId="0" applyNumberFormat="1" applyFont="1" applyBorder="1"/>
    <xf numFmtId="0" fontId="54" fillId="43" borderId="6" xfId="0" applyFont="1" applyFill="1" applyBorder="1" applyAlignment="1">
      <alignment wrapText="1"/>
    </xf>
    <xf numFmtId="20" fontId="56" fillId="0" borderId="10" xfId="0" applyNumberFormat="1" applyFont="1" applyBorder="1"/>
    <xf numFmtId="0" fontId="52" fillId="0" borderId="10" xfId="0" applyFont="1" applyBorder="1" applyAlignment="1">
      <alignment vertical="top" wrapText="1"/>
    </xf>
    <xf numFmtId="0" fontId="52" fillId="0" borderId="10" xfId="0" applyFont="1" applyBorder="1" applyAlignment="1">
      <alignment vertical="top"/>
    </xf>
    <xf numFmtId="0" fontId="52" fillId="0" borderId="6" xfId="0" applyFont="1" applyBorder="1" applyAlignment="1">
      <alignment vertical="top"/>
    </xf>
    <xf numFmtId="0" fontId="52" fillId="0" borderId="6" xfId="0" applyFont="1" applyBorder="1" applyAlignment="1">
      <alignment vertical="top" wrapText="1"/>
    </xf>
    <xf numFmtId="0" fontId="44" fillId="0" borderId="0" xfId="0" applyFont="1"/>
    <xf numFmtId="0" fontId="45" fillId="46" borderId="8" xfId="0" applyFont="1" applyFill="1" applyBorder="1"/>
    <xf numFmtId="0" fontId="45" fillId="0" borderId="8" xfId="0" applyFont="1" applyBorder="1"/>
    <xf numFmtId="0" fontId="12" fillId="0" borderId="0" xfId="0" applyFont="1"/>
    <xf numFmtId="0" fontId="61" fillId="48" borderId="8" xfId="0" applyFont="1" applyFill="1" applyBorder="1"/>
    <xf numFmtId="0" fontId="7" fillId="48" borderId="8" xfId="0" applyFont="1" applyFill="1" applyBorder="1"/>
    <xf numFmtId="0" fontId="45" fillId="5" borderId="8" xfId="0" applyFont="1" applyFill="1" applyBorder="1"/>
    <xf numFmtId="0" fontId="0" fillId="5" borderId="8" xfId="0" applyFill="1" applyBorder="1"/>
    <xf numFmtId="0" fontId="4" fillId="0" borderId="0" xfId="0" applyFont="1" applyAlignment="1">
      <alignment horizontal="center" vertical="center" wrapText="1"/>
    </xf>
    <xf numFmtId="0" fontId="7" fillId="0" borderId="3"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52" fillId="0" borderId="3" xfId="0" applyFont="1" applyBorder="1" applyAlignment="1">
      <alignment wrapText="1"/>
    </xf>
    <xf numFmtId="0" fontId="52" fillId="0" borderId="5" xfId="0" applyFont="1" applyBorder="1" applyAlignment="1">
      <alignment wrapText="1"/>
    </xf>
    <xf numFmtId="0" fontId="52" fillId="0" borderId="19" xfId="0" applyFont="1" applyBorder="1" applyAlignment="1">
      <alignment wrapText="1"/>
    </xf>
    <xf numFmtId="0" fontId="4" fillId="5" borderId="0" xfId="0" applyFont="1" applyFill="1" applyAlignment="1">
      <alignment horizontal="center" wrapText="1"/>
    </xf>
    <xf numFmtId="0" fontId="7" fillId="23" borderId="1" xfId="0" applyFont="1" applyFill="1" applyBorder="1" applyAlignment="1">
      <alignment vertical="center"/>
    </xf>
    <xf numFmtId="0" fontId="7" fillId="25" borderId="1" xfId="0" applyFont="1" applyFill="1" applyBorder="1" applyAlignment="1">
      <alignment vertical="center"/>
    </xf>
    <xf numFmtId="0" fontId="7" fillId="25" borderId="7" xfId="0" applyFont="1" applyFill="1" applyBorder="1" applyAlignment="1">
      <alignment horizontal="center" vertical="center"/>
    </xf>
    <xf numFmtId="0" fontId="7" fillId="25" borderId="9" xfId="0" applyFont="1" applyFill="1" applyBorder="1" applyAlignment="1">
      <alignment horizontal="center" vertical="center"/>
    </xf>
    <xf numFmtId="0" fontId="7" fillId="38" borderId="8" xfId="0" applyFont="1" applyFill="1" applyBorder="1" applyAlignment="1">
      <alignment vertical="center"/>
    </xf>
    <xf numFmtId="0" fontId="7" fillId="38" borderId="12" xfId="0" applyFont="1" applyFill="1" applyBorder="1" applyAlignment="1">
      <alignment vertical="center"/>
    </xf>
    <xf numFmtId="0" fontId="7" fillId="31" borderId="8" xfId="0" applyFont="1" applyFill="1" applyBorder="1" applyAlignment="1">
      <alignment vertical="center"/>
    </xf>
    <xf numFmtId="0" fontId="7" fillId="33" borderId="8" xfId="0" applyFont="1" applyFill="1" applyBorder="1" applyAlignment="1">
      <alignment vertical="center"/>
    </xf>
    <xf numFmtId="0" fontId="7" fillId="35" borderId="8" xfId="0" applyFont="1" applyFill="1" applyBorder="1" applyAlignment="1">
      <alignment vertical="center"/>
    </xf>
    <xf numFmtId="0" fontId="7" fillId="36" borderId="8" xfId="0" applyFont="1" applyFill="1" applyBorder="1" applyAlignment="1">
      <alignment vertical="center"/>
    </xf>
    <xf numFmtId="0" fontId="7" fillId="37" borderId="8" xfId="0" applyFont="1" applyFill="1" applyBorder="1" applyAlignment="1">
      <alignment vertical="center"/>
    </xf>
    <xf numFmtId="0" fontId="0" fillId="44" borderId="13" xfId="0" applyFill="1" applyBorder="1" applyAlignment="1">
      <alignment horizontal="center" vertical="center"/>
    </xf>
    <xf numFmtId="0" fontId="0" fillId="45" borderId="12" xfId="0" applyFill="1" applyBorder="1" applyAlignment="1">
      <alignment horizontal="center" vertical="center"/>
    </xf>
    <xf numFmtId="0" fontId="0" fillId="45" borderId="13" xfId="0" applyFill="1" applyBorder="1" applyAlignment="1">
      <alignment horizontal="center" vertical="center"/>
    </xf>
    <xf numFmtId="0" fontId="0" fillId="32" borderId="12" xfId="0" applyFill="1" applyBorder="1" applyAlignment="1">
      <alignment horizontal="center" vertical="center"/>
    </xf>
    <xf numFmtId="0" fontId="0" fillId="32" borderId="13" xfId="0" applyFill="1" applyBorder="1" applyAlignment="1">
      <alignment horizontal="center" vertical="center"/>
    </xf>
    <xf numFmtId="0" fontId="0" fillId="32" borderId="14" xfId="0" applyFill="1" applyBorder="1" applyAlignment="1">
      <alignment horizontal="center" vertical="center"/>
    </xf>
    <xf numFmtId="0" fontId="0" fillId="40" borderId="8" xfId="0" applyFill="1" applyBorder="1" applyAlignment="1">
      <alignment horizontal="center" vertical="center"/>
    </xf>
    <xf numFmtId="0" fontId="7" fillId="39" borderId="8" xfId="0" applyFont="1" applyFill="1" applyBorder="1" applyAlignment="1">
      <alignment vertical="center"/>
    </xf>
    <xf numFmtId="0" fontId="4" fillId="0" borderId="0" xfId="0" applyFont="1" applyAlignment="1">
      <alignment horizontal="center"/>
    </xf>
    <xf numFmtId="0" fontId="7" fillId="25" borderId="1" xfId="0" applyFont="1" applyFill="1" applyBorder="1" applyAlignment="1">
      <alignment vertical="top"/>
    </xf>
    <xf numFmtId="0" fontId="7" fillId="23" borderId="1" xfId="0" applyFont="1" applyFill="1" applyBorder="1" applyAlignment="1">
      <alignment vertical="top"/>
    </xf>
    <xf numFmtId="0" fontId="4" fillId="21" borderId="0" xfId="0" applyFont="1" applyFill="1" applyAlignment="1">
      <alignment horizontal="center" vertical="top" wrapText="1"/>
    </xf>
    <xf numFmtId="0" fontId="0" fillId="5" borderId="9" xfId="0" applyFill="1" applyBorder="1" applyAlignment="1">
      <alignment vertical="center"/>
    </xf>
    <xf numFmtId="0" fontId="0" fillId="0" borderId="0" xfId="0" applyAlignment="1">
      <alignment horizontal="left" vertical="center"/>
    </xf>
    <xf numFmtId="0" fontId="0" fillId="5" borderId="7" xfId="0" applyFill="1" applyBorder="1" applyAlignment="1">
      <alignment vertical="center"/>
    </xf>
    <xf numFmtId="0" fontId="0" fillId="5" borderId="10" xfId="0" applyFill="1" applyBorder="1" applyAlignment="1">
      <alignment vertical="center"/>
    </xf>
    <xf numFmtId="0" fontId="0" fillId="5" borderId="7" xfId="0" applyFill="1" applyBorder="1" applyAlignment="1">
      <alignment horizontal="left" vertical="center"/>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0" borderId="11" xfId="0" applyBorder="1" applyAlignment="1">
      <alignment horizontal="left" vertical="center"/>
    </xf>
    <xf numFmtId="0" fontId="0" fillId="0" borderId="11" xfId="0" applyBorder="1"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41" fillId="0" borderId="1" xfId="0" applyFont="1" applyBorder="1" applyAlignment="1">
      <alignment horizontal="center" vertical="center"/>
    </xf>
    <xf numFmtId="0" fontId="7" fillId="0" borderId="1" xfId="0" applyFont="1" applyBorder="1" applyAlignment="1">
      <alignment horizontal="center" vertical="center"/>
    </xf>
    <xf numFmtId="49" fontId="1" fillId="24" borderId="1" xfId="0" applyNumberFormat="1" applyFont="1" applyFill="1" applyBorder="1" applyAlignment="1">
      <alignment vertical="top" wrapText="1"/>
    </xf>
    <xf numFmtId="0" fontId="0" fillId="5" borderId="7" xfId="0" applyFill="1" applyBorder="1" applyAlignment="1"/>
    <xf numFmtId="0" fontId="0" fillId="5" borderId="9" xfId="0" applyFill="1" applyBorder="1" applyAlignment="1"/>
    <xf numFmtId="0" fontId="0" fillId="5" borderId="10" xfId="0" applyFill="1" applyBorder="1" applyAlignment="1"/>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160</xdr:row>
      <xdr:rowOff>0</xdr:rowOff>
    </xdr:from>
    <xdr:to>
      <xdr:col>17</xdr:col>
      <xdr:colOff>620027</xdr:colOff>
      <xdr:row>210</xdr:row>
      <xdr:rowOff>36905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010025" y="50892075"/>
          <a:ext cx="18180952" cy="956190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3C7EF39-6BEA-4F47-8C92-098609B5C946}">
    <nsvFilter filterId="{00000000-0001-0000-0000-000000000000}" ref="A2:AM144" tableId="0"/>
  </namedSheetView>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utosys-output-commas"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ASYSFTPP@SYSC" TargetMode="External"/><Relationship Id="rId13" Type="http://schemas.openxmlformats.org/officeDocument/2006/relationships/hyperlink" Target="mailto:ASYSFTPP@SYSC" TargetMode="External"/><Relationship Id="rId18" Type="http://schemas.openxmlformats.org/officeDocument/2006/relationships/hyperlink" Target="mailto:ASYSFTPP@SYSC" TargetMode="External"/><Relationship Id="rId26" Type="http://schemas.openxmlformats.org/officeDocument/2006/relationships/hyperlink" Target="mailto:ASYSFTPP@SYSC" TargetMode="External"/><Relationship Id="rId3" Type="http://schemas.openxmlformats.org/officeDocument/2006/relationships/hyperlink" Target="https://rxvavgtcv7.execute-api.us-east-1.amazonaws.com/dev/batch-job" TargetMode="External"/><Relationship Id="rId21" Type="http://schemas.openxmlformats.org/officeDocument/2006/relationships/hyperlink" Target="mailto:ASYSFTPP@SYSC" TargetMode="External"/><Relationship Id="rId7" Type="http://schemas.openxmlformats.org/officeDocument/2006/relationships/hyperlink" Target="mailto:ASYSFTPP@SYSC" TargetMode="External"/><Relationship Id="rId12" Type="http://schemas.openxmlformats.org/officeDocument/2006/relationships/hyperlink" Target="mailto:ASYSFTPP@SYSC" TargetMode="External"/><Relationship Id="rId17" Type="http://schemas.openxmlformats.org/officeDocument/2006/relationships/hyperlink" Target="mailto:ASYSFTPP@SYSC" TargetMode="External"/><Relationship Id="rId25" Type="http://schemas.openxmlformats.org/officeDocument/2006/relationships/hyperlink" Target="mailto:ASYSFTPP@SYSC" TargetMode="External"/><Relationship Id="rId2" Type="http://schemas.openxmlformats.org/officeDocument/2006/relationships/hyperlink" Target="https://rxvavgtcv7.execute-api.us-east-1.amazonaws.com/dev/batch-job" TargetMode="External"/><Relationship Id="rId16" Type="http://schemas.openxmlformats.org/officeDocument/2006/relationships/hyperlink" Target="mailto:ASYSFTPP@SYSC" TargetMode="External"/><Relationship Id="rId20" Type="http://schemas.openxmlformats.org/officeDocument/2006/relationships/hyperlink" Target="mailto:ASYSFTPP@SYSC" TargetMode="External"/><Relationship Id="rId29" Type="http://schemas.openxmlformats.org/officeDocument/2006/relationships/hyperlink" Target="mailto:ASYSFTPP@SYSC" TargetMode="External"/><Relationship Id="rId1" Type="http://schemas.openxmlformats.org/officeDocument/2006/relationships/hyperlink" Target="https://amerenprod.service-now.com/asp?id=sc_cat_item&amp;sys_id=67f8629cdbf5d4903b95c443059619c0" TargetMode="External"/><Relationship Id="rId6" Type="http://schemas.openxmlformats.org/officeDocument/2006/relationships/hyperlink" Target="https://wccdevelopment.ameren.com:8443/wcc/quickview/pages/main.jsf?serverName=DVL&amp;displayMode=standalone&amp;AntiXSRFToken=34F00&amp;jobName=TR_RN_Maintain_TR33102_Trigger_Box&amp;conversationContext=3" TargetMode="External"/><Relationship Id="rId11" Type="http://schemas.openxmlformats.org/officeDocument/2006/relationships/hyperlink" Target="mailto:ASYSFTPP@SYSC" TargetMode="External"/><Relationship Id="rId24" Type="http://schemas.openxmlformats.org/officeDocument/2006/relationships/hyperlink" Target="mailto:ASYSFTPP@SYSC" TargetMode="External"/><Relationship Id="rId32" Type="http://schemas.openxmlformats.org/officeDocument/2006/relationships/printerSettings" Target="../printerSettings/printerSettings1.bin"/><Relationship Id="rId5" Type="http://schemas.openxmlformats.org/officeDocument/2006/relationships/hyperlink" Target="https://wccdevelopment.ameren.com:8443/wcc/quickview/pages/main.jsf?serverName=DVL&amp;displayMode=standalone&amp;AntiXSRFToken=34F00&amp;jobName=TR_RN_Maintain_TR33107_Trigger_Box&amp;conversationContext=3" TargetMode="External"/><Relationship Id="rId15" Type="http://schemas.openxmlformats.org/officeDocument/2006/relationships/hyperlink" Target="mailto:ASYSFTPP@SYSC" TargetMode="External"/><Relationship Id="rId23" Type="http://schemas.openxmlformats.org/officeDocument/2006/relationships/hyperlink" Target="mailto:ASYSFTPP@SYSC" TargetMode="External"/><Relationship Id="rId28" Type="http://schemas.openxmlformats.org/officeDocument/2006/relationships/hyperlink" Target="mailto:ASYSFTPP@SYSC" TargetMode="External"/><Relationship Id="rId10" Type="http://schemas.openxmlformats.org/officeDocument/2006/relationships/hyperlink" Target="mailto:ASYSFTPP@SYSC" TargetMode="External"/><Relationship Id="rId19" Type="http://schemas.openxmlformats.org/officeDocument/2006/relationships/hyperlink" Target="mailto:ASYSFTPP@SYSC" TargetMode="External"/><Relationship Id="rId31" Type="http://schemas.openxmlformats.org/officeDocument/2006/relationships/hyperlink" Target="mailto:ASYSFTPP@SYSC" TargetMode="External"/><Relationship Id="rId4" Type="http://schemas.openxmlformats.org/officeDocument/2006/relationships/hyperlink" Target="https://wccdevelopment.ameren.com:8443/wcc/quickview/pages/main.jsf?serverName=DVL&amp;displayMode=standalone&amp;AntiXSRFToken=34F00&amp;jobName=TR_RN_Maintain_TR33106N_Trigger_Box&amp;conversationContext=3" TargetMode="External"/><Relationship Id="rId9" Type="http://schemas.openxmlformats.org/officeDocument/2006/relationships/hyperlink" Target="mailto:ASYSFTPP@SYSC" TargetMode="External"/><Relationship Id="rId14" Type="http://schemas.openxmlformats.org/officeDocument/2006/relationships/hyperlink" Target="mailto:ASYSFTPP@SYSC" TargetMode="External"/><Relationship Id="rId22" Type="http://schemas.openxmlformats.org/officeDocument/2006/relationships/hyperlink" Target="mailto:ASYSFTPP@SYSC" TargetMode="External"/><Relationship Id="rId27" Type="http://schemas.openxmlformats.org/officeDocument/2006/relationships/hyperlink" Target="mailto:ASYSFTPP@SYSC" TargetMode="External"/><Relationship Id="rId30" Type="http://schemas.openxmlformats.org/officeDocument/2006/relationships/hyperlink" Target="mailto:ASYSFTPP@SYS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merenprod.service-now.com/asp?id=sc_cat_item&amp;sys_id=67f8629cdbf5d4903b95c443059619c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SYSFTPP@SYSC" TargetMode="External"/><Relationship Id="rId13" Type="http://schemas.openxmlformats.org/officeDocument/2006/relationships/hyperlink" Target="mailto:ASYSFTPP@SYSC" TargetMode="External"/><Relationship Id="rId3" Type="http://schemas.openxmlformats.org/officeDocument/2006/relationships/hyperlink" Target="mailto:ASYSFTPP@SYSC" TargetMode="External"/><Relationship Id="rId7" Type="http://schemas.openxmlformats.org/officeDocument/2006/relationships/hyperlink" Target="mailto:ASYSFTPP@SYSC" TargetMode="External"/><Relationship Id="rId12" Type="http://schemas.openxmlformats.org/officeDocument/2006/relationships/hyperlink" Target="mailto:ASYSFTPP@SYSC" TargetMode="External"/><Relationship Id="rId17" Type="http://schemas.microsoft.com/office/2019/04/relationships/namedSheetView" Target="../namedSheetViews/namedSheetView1.xml"/><Relationship Id="rId2" Type="http://schemas.openxmlformats.org/officeDocument/2006/relationships/hyperlink" Target="mailto:ASYSFTPP@SYSC" TargetMode="External"/><Relationship Id="rId16" Type="http://schemas.openxmlformats.org/officeDocument/2006/relationships/queryTable" Target="../queryTables/queryTable1.xml"/><Relationship Id="rId1" Type="http://schemas.openxmlformats.org/officeDocument/2006/relationships/hyperlink" Target="mailto:ASYSFTPP@SYSC" TargetMode="External"/><Relationship Id="rId6" Type="http://schemas.openxmlformats.org/officeDocument/2006/relationships/hyperlink" Target="mailto:ASYSFTPP@SYSC" TargetMode="External"/><Relationship Id="rId11" Type="http://schemas.openxmlformats.org/officeDocument/2006/relationships/hyperlink" Target="mailto:ASYSFTPP@SYSC" TargetMode="External"/><Relationship Id="rId5" Type="http://schemas.openxmlformats.org/officeDocument/2006/relationships/hyperlink" Target="mailto:ASYSFTPP@SYSC" TargetMode="External"/><Relationship Id="rId15" Type="http://schemas.openxmlformats.org/officeDocument/2006/relationships/drawing" Target="../drawings/drawing1.xml"/><Relationship Id="rId10" Type="http://schemas.openxmlformats.org/officeDocument/2006/relationships/hyperlink" Target="mailto:ASYSFTPP@SYSC" TargetMode="External"/><Relationship Id="rId4" Type="http://schemas.openxmlformats.org/officeDocument/2006/relationships/hyperlink" Target="mailto:ASYSFTPP@SYSC" TargetMode="External"/><Relationship Id="rId9" Type="http://schemas.openxmlformats.org/officeDocument/2006/relationships/hyperlink" Target="https://amerenprod.service-now.com/asp?id=sc_cat_item&amp;sys_id=67f8629cdbf5d4903b95c443059619c0" TargetMode="External"/><Relationship Id="rId14"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8" Type="http://schemas.openxmlformats.org/officeDocument/2006/relationships/hyperlink" Target="https://tris-dev-batch.ameren.com/api/batch/tr33408/v1/TI0544_SickLeaveSummary/generate" TargetMode="External"/><Relationship Id="rId3" Type="http://schemas.openxmlformats.org/officeDocument/2006/relationships/hyperlink" Target="https://tris-dev-batch.ameren.com/api/batch/tr33136/v1/TI0510_SeniorityAccruals/process-accruals" TargetMode="External"/><Relationship Id="rId7" Type="http://schemas.openxmlformats.org/officeDocument/2006/relationships/hyperlink" Target="https://tris-dev-batch.ameren.com/api/batch/common/v1/TR026_/split-exception-code-contract%20and%20https:/tris-dev-batch.ameren.com/api/batch/common/v1/TR026_/split-exception-code-executive" TargetMode="External"/><Relationship Id="rId2" Type="http://schemas.openxmlformats.org/officeDocument/2006/relationships/hyperlink" Target="https://tris-dev-batch.ameren.com/api/batch/tr33102/v1/TR129/Report_TR_Eff_Dates_Updates" TargetMode="External"/><Relationship Id="rId1" Type="http://schemas.openxmlformats.org/officeDocument/2006/relationships/hyperlink" Target="https://tris-dev-batch.ameren.com/api/batch/tr33102/v1/TR009/RPT33710_RPT33711_RPT33733" TargetMode="External"/><Relationship Id="rId6" Type="http://schemas.openxmlformats.org/officeDocument/2006/relationships/hyperlink" Target="https://tris-dev-batch.ameren.com/api/batch/common/v1/TR135_SymbolTime/execute-symbol-time-contract%20and%20https:/tris-dev-batch.ameren.com/api/batch/common/v1/TR135_SymbolTime/execute-symbol-time-executive" TargetMode="External"/><Relationship Id="rId5" Type="http://schemas.openxmlformats.org/officeDocument/2006/relationships/hyperlink" Target="https://tris-dev-batch.ameren.com/api/batch/common/v1/TR026_/split-exception-code-contract%20and%20https:/tris-dev-batch.ameren.com/api/batch/common/v1/TR026_/split-exception-code-executive" TargetMode="External"/><Relationship Id="rId10" Type="http://schemas.openxmlformats.org/officeDocument/2006/relationships/hyperlink" Target="https://tris-dev-batch.ameren.com/api/batch/common/v1/TR004/TR33101N/execute" TargetMode="External"/><Relationship Id="rId4" Type="http://schemas.openxmlformats.org/officeDocument/2006/relationships/hyperlink" Target="https://tris-dev-batch.ameren.com/api/batch/tr33136/v1/TR127_SeniorityReport/generate-interface-file" TargetMode="External"/><Relationship Id="rId9" Type="http://schemas.openxmlformats.org/officeDocument/2006/relationships/hyperlink" Target="https://tris-dev-batch.ameren.com/api/batch/tr33408/v1/TR058_SickLeaveSummaryReport/gene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891A-B1ED-436A-B837-F604E40F571F}">
  <dimension ref="A1:F160"/>
  <sheetViews>
    <sheetView topLeftCell="A63" workbookViewId="0">
      <selection activeCell="C2" sqref="C2"/>
    </sheetView>
  </sheetViews>
  <sheetFormatPr defaultRowHeight="15"/>
  <cols>
    <col min="1" max="1" width="65.28515625" style="360" customWidth="1"/>
    <col min="2" max="2" width="54.140625" bestFit="1" customWidth="1"/>
    <col min="3" max="3" width="55" customWidth="1"/>
  </cols>
  <sheetData>
    <row r="1" spans="1:3">
      <c r="A1" s="361" t="s">
        <v>0</v>
      </c>
      <c r="B1" s="362" t="s">
        <v>1</v>
      </c>
      <c r="C1" s="362" t="s">
        <v>2</v>
      </c>
    </row>
    <row r="2" spans="1:3">
      <c r="A2" s="358" t="s">
        <v>3</v>
      </c>
      <c r="B2" s="100" t="str">
        <f>IF(_xlfn.XLOOKUP(A2,'Job Details'!A:A,'Job Details'!I:I,"Not in schedule")=0,"Pending",_xlfn.XLOOKUP(A2,'Job Details'!A:A,'Job Details'!I:I,"Not in schedule"))</f>
        <v>Pending</v>
      </c>
      <c r="C2" s="100" t="str">
        <f>IF(_xlfn.XLOOKUP(A2,'Job Details'!A:A,'Job Details'!AU:AU,"Job Details")=0,"Pending",_xlfn.XLOOKUP(A2,'Job Details'!A:A,'Job Details'!AU:AU,"Not In Job Details"))</f>
        <v>Pending</v>
      </c>
    </row>
    <row r="3" spans="1:3">
      <c r="A3" s="358" t="s">
        <v>4</v>
      </c>
      <c r="B3" s="100" t="str">
        <f>IF(_xlfn.XLOOKUP(A3,'Job Details'!A:A,'Job Details'!I:I,"Not in schedule")=0,"Pending",_xlfn.XLOOKUP(A3,'Job Details'!A:A,'Job Details'!I:I,"Not in schedule"))</f>
        <v>Pending</v>
      </c>
      <c r="C3" s="100" t="str">
        <f>IF(_xlfn.XLOOKUP(A3,'Job Details'!A:A,'Job Details'!AU:AU,"Job Details")=0,"Pending",_xlfn.XLOOKUP(A3,'Job Details'!A:A,'Job Details'!AU:AU,"Not In Job Details"))</f>
        <v>Pending</v>
      </c>
    </row>
    <row r="4" spans="1:3">
      <c r="A4" s="358" t="s">
        <v>5</v>
      </c>
      <c r="B4" s="100" t="str">
        <f>IF(_xlfn.XLOOKUP(A4,'Job Details'!A:A,'Job Details'!I:I,"Not in schedule")=0,"Pending",_xlfn.XLOOKUP(A4,'Job Details'!A:A,'Job Details'!I:I,"Not in schedule"))</f>
        <v>Pending</v>
      </c>
      <c r="C4" s="100" t="str">
        <f>IF(_xlfn.XLOOKUP(A4,'Job Details'!A:A,'Job Details'!AU:AU,"Job Details")=0,"Pending",_xlfn.XLOOKUP(A4,'Job Details'!A:A,'Job Details'!AU:AU,"Not In Job Details"))</f>
        <v>Pending</v>
      </c>
    </row>
    <row r="5" spans="1:3">
      <c r="A5" s="358" t="s">
        <v>6</v>
      </c>
      <c r="B5" s="100" t="str">
        <f>IF(_xlfn.XLOOKUP(A5,'Job Details'!A:A,'Job Details'!I:I,"Not in schedule")=0,"Pending",_xlfn.XLOOKUP(A5,'Job Details'!A:A,'Job Details'!I:I,"Not in schedule"))</f>
        <v>Pending</v>
      </c>
      <c r="C5" s="100" t="str">
        <f>IF(_xlfn.XLOOKUP(A5,'Job Details'!A:A,'Job Details'!AU:AU,"Job Details")=0,"Pending",_xlfn.XLOOKUP(A5,'Job Details'!A:A,'Job Details'!AU:AU,"Not In Job Details"))</f>
        <v>Pending</v>
      </c>
    </row>
    <row r="6" spans="1:3">
      <c r="A6" s="358" t="s">
        <v>7</v>
      </c>
      <c r="B6" s="100" t="str">
        <f>IF(_xlfn.XLOOKUP(A6,'Job Details'!A:A,'Job Details'!I:I,"Not in schedule")=0,"Pending",_xlfn.XLOOKUP(A6,'Job Details'!A:A,'Job Details'!I:I,"Not in schedule"))</f>
        <v>Pending</v>
      </c>
      <c r="C6" s="100" t="str">
        <f>IF(_xlfn.XLOOKUP(A6,'Job Details'!A:A,'Job Details'!AU:AU,"Job Details")=0,"Pending",_xlfn.XLOOKUP(A6,'Job Details'!A:A,'Job Details'!AU:AU,"Not In Job Details"))</f>
        <v>Pending</v>
      </c>
    </row>
    <row r="7" spans="1:3">
      <c r="A7" s="358" t="s">
        <v>8</v>
      </c>
      <c r="B7" s="100" t="str">
        <f>IF(_xlfn.XLOOKUP(A7,'Job Details'!A:A,'Job Details'!I:I,"Not in schedule")=0,"Pending",_xlfn.XLOOKUP(A7,'Job Details'!A:A,'Job Details'!I:I,"Not in schedule"))</f>
        <v>Pending</v>
      </c>
      <c r="C7" s="100" t="str">
        <f>IF(_xlfn.XLOOKUP(A7,'Job Details'!A:A,'Job Details'!AU:AU,"Job Details")=0,"Pending",_xlfn.XLOOKUP(A7,'Job Details'!A:A,'Job Details'!AU:AU,"Not In Job Details"))</f>
        <v>Pending</v>
      </c>
    </row>
    <row r="8" spans="1:3">
      <c r="A8" s="358" t="s">
        <v>9</v>
      </c>
      <c r="B8" s="100" t="str">
        <f>IF(_xlfn.XLOOKUP(A8,'Job Details'!A:A,'Job Details'!I:I,"Not in schedule")=0,"Pending",_xlfn.XLOOKUP(A8,'Job Details'!A:A,'Job Details'!I:I,"Not in schedule"))</f>
        <v>Pending</v>
      </c>
      <c r="C8" s="100" t="str">
        <f>IF(_xlfn.XLOOKUP(A8,'Job Details'!A:A,'Job Details'!AU:AU,"Job Details")=0,"Pending",_xlfn.XLOOKUP(A8,'Job Details'!A:A,'Job Details'!AU:AU,"Not In Job Details"))</f>
        <v>Pending</v>
      </c>
    </row>
    <row r="9" spans="1:3">
      <c r="A9" s="358" t="s">
        <v>10</v>
      </c>
      <c r="B9" s="100" t="str">
        <f>IF(_xlfn.XLOOKUP(A9,'Job Details'!A:A,'Job Details'!I:I,"Not in schedule")=0,"Pending",_xlfn.XLOOKUP(A9,'Job Details'!A:A,'Job Details'!I:I,"Not in schedule"))</f>
        <v>Pending</v>
      </c>
      <c r="C9" s="100" t="str">
        <f>IF(_xlfn.XLOOKUP(A9,'Job Details'!A:A,'Job Details'!AU:AU,"Job Details")=0,"Pending",_xlfn.XLOOKUP(A9,'Job Details'!A:A,'Job Details'!AU:AU,"Not In Job Details"))</f>
        <v>Pending</v>
      </c>
    </row>
    <row r="10" spans="1:3">
      <c r="A10" s="358" t="s">
        <v>11</v>
      </c>
      <c r="B10" s="100" t="str">
        <f>IF(_xlfn.XLOOKUP(A10,'Job Details'!A:A,'Job Details'!I:I,"Not in schedule")=0,"Pending",_xlfn.XLOOKUP(A10,'Job Details'!A:A,'Job Details'!I:I,"Not in schedule"))</f>
        <v>Pending</v>
      </c>
      <c r="C10" s="100" t="str">
        <f>IF(_xlfn.XLOOKUP(A10,'Job Details'!A:A,'Job Details'!AU:AU,"Job Details")=0,"Pending",_xlfn.XLOOKUP(A10,'Job Details'!A:A,'Job Details'!AU:AU,"Not In Job Details"))</f>
        <v>Pending</v>
      </c>
    </row>
    <row r="11" spans="1:3">
      <c r="A11" s="358" t="s">
        <v>12</v>
      </c>
      <c r="B11" s="100" t="str">
        <f>IF(_xlfn.XLOOKUP(A11,'Job Details'!A:A,'Job Details'!I:I,"Not in schedule")=0,"Pending",_xlfn.XLOOKUP(A11,'Job Details'!A:A,'Job Details'!I:I,"Not in schedule"))</f>
        <v>Pending</v>
      </c>
      <c r="C11" s="100" t="str">
        <f>IF(_xlfn.XLOOKUP(A11,'Job Details'!A:A,'Job Details'!AU:AU,"Job Details")=0,"Pending",_xlfn.XLOOKUP(A11,'Job Details'!A:A,'Job Details'!AU:AU,"Not In Job Details"))</f>
        <v>Pending</v>
      </c>
    </row>
    <row r="12" spans="1:3">
      <c r="A12" s="358" t="s">
        <v>13</v>
      </c>
      <c r="B12" s="100" t="str">
        <f>IF(_xlfn.XLOOKUP(A12,'Job Details'!A:A,'Job Details'!I:I,"Not in schedule")=0,"Pending",_xlfn.XLOOKUP(A12,'Job Details'!A:A,'Job Details'!I:I,"Not in schedule"))</f>
        <v>Pending</v>
      </c>
      <c r="C12" s="100" t="str">
        <f>IF(_xlfn.XLOOKUP(A12,'Job Details'!A:A,'Job Details'!AU:AU,"Job Details")=0,"Pending",_xlfn.XLOOKUP(A12,'Job Details'!A:A,'Job Details'!AU:AU,"Not In Job Details"))</f>
        <v>Pending</v>
      </c>
    </row>
    <row r="13" spans="1:3">
      <c r="A13" s="358" t="s">
        <v>14</v>
      </c>
      <c r="B13" s="100" t="str">
        <f>IF(_xlfn.XLOOKUP(A13,'Job Details'!A:A,'Job Details'!I:I,"Not in schedule")=0,"Pending",_xlfn.XLOOKUP(A13,'Job Details'!A:A,'Job Details'!I:I,"Not in schedule"))</f>
        <v>Pending</v>
      </c>
      <c r="C13" s="100" t="str">
        <f>IF(_xlfn.XLOOKUP(A13,'Job Details'!A:A,'Job Details'!AU:AU,"Job Details")=0,"Pending",_xlfn.XLOOKUP(A13,'Job Details'!A:A,'Job Details'!AU:AU,"Not In Job Details"))</f>
        <v>Pending</v>
      </c>
    </row>
    <row r="14" spans="1:3">
      <c r="A14" s="358" t="s">
        <v>15</v>
      </c>
      <c r="B14" s="100" t="str">
        <f>IF(_xlfn.XLOOKUP(A14,'Job Details'!A:A,'Job Details'!I:I,"Not in schedule")=0,"Pending",_xlfn.XLOOKUP(A14,'Job Details'!A:A,'Job Details'!I:I,"Not in schedule"))</f>
        <v>Pending</v>
      </c>
      <c r="C14" s="100" t="str">
        <f>IF(_xlfn.XLOOKUP(A14,'Job Details'!A:A,'Job Details'!AU:AU,"Job Details")=0,"Pending",_xlfn.XLOOKUP(A14,'Job Details'!A:A,'Job Details'!AU:AU,"Not In Job Details"))</f>
        <v>Pending</v>
      </c>
    </row>
    <row r="15" spans="1:3">
      <c r="A15" s="358" t="s">
        <v>16</v>
      </c>
      <c r="B15" s="100" t="str">
        <f>IF(_xlfn.XLOOKUP(A15,'Job Details'!A:A,'Job Details'!I:I,"Not in schedule")=0,"Pending",_xlfn.XLOOKUP(A15,'Job Details'!A:A,'Job Details'!I:I,"Not in schedule"))</f>
        <v>Pending</v>
      </c>
      <c r="C15" s="100" t="str">
        <f>IF(_xlfn.XLOOKUP(A15,'Job Details'!A:A,'Job Details'!AU:AU,"Job Details")=0,"Pending",_xlfn.XLOOKUP(A15,'Job Details'!A:A,'Job Details'!AU:AU,"Not In Job Details"))</f>
        <v>Pending</v>
      </c>
    </row>
    <row r="16" spans="1:3">
      <c r="A16" s="358" t="s">
        <v>17</v>
      </c>
      <c r="B16" s="100" t="str">
        <f>IF(_xlfn.XLOOKUP(A16,'Job Details'!A:A,'Job Details'!I:I,"Not in schedule")=0,"Pending",_xlfn.XLOOKUP(A16,'Job Details'!A:A,'Job Details'!I:I,"Not in schedule"))</f>
        <v>Pending</v>
      </c>
      <c r="C16" s="100" t="str">
        <f>IF(_xlfn.XLOOKUP(A16,'Job Details'!A:A,'Job Details'!AU:AU,"Job Details")=0,"Pending",_xlfn.XLOOKUP(A16,'Job Details'!A:A,'Job Details'!AU:AU,"Not In Job Details"))</f>
        <v>Pending</v>
      </c>
    </row>
    <row r="17" spans="1:3">
      <c r="A17" s="358" t="s">
        <v>18</v>
      </c>
      <c r="B17" s="100" t="str">
        <f>IF(_xlfn.XLOOKUP(A17,'Job Details'!A:A,'Job Details'!I:I,"Not in schedule")=0,"Pending",_xlfn.XLOOKUP(A17,'Job Details'!A:A,'Job Details'!I:I,"Not in schedule"))</f>
        <v>Pending</v>
      </c>
      <c r="C17" s="100" t="str">
        <f>IF(_xlfn.XLOOKUP(A17,'Job Details'!A:A,'Job Details'!AU:AU,"Job Details")=0,"Pending",_xlfn.XLOOKUP(A17,'Job Details'!A:A,'Job Details'!AU:AU,"Not In Job Details"))</f>
        <v>Pending</v>
      </c>
    </row>
    <row r="18" spans="1:3">
      <c r="A18" s="358" t="s">
        <v>19</v>
      </c>
      <c r="B18" s="100" t="str">
        <f>IF(_xlfn.XLOOKUP(A18,'Job Details'!A:A,'Job Details'!I:I,"Not in schedule")=0,"Pending",_xlfn.XLOOKUP(A18,'Job Details'!A:A,'Job Details'!I:I,"Not in schedule"))</f>
        <v>Pending</v>
      </c>
      <c r="C18" s="100" t="str">
        <f>IF(_xlfn.XLOOKUP(A18,'Job Details'!A:A,'Job Details'!AU:AU,"Job Details")=0,"Pending",_xlfn.XLOOKUP(A18,'Job Details'!A:A,'Job Details'!AU:AU,"Not In Job Details"))</f>
        <v>Pending</v>
      </c>
    </row>
    <row r="19" spans="1:3">
      <c r="A19" s="358" t="s">
        <v>20</v>
      </c>
      <c r="B19" s="100" t="str">
        <f>IF(_xlfn.XLOOKUP(A19,'Job Details'!A:A,'Job Details'!I:I,"Not in schedule")=0,"Pending",_xlfn.XLOOKUP(A19,'Job Details'!A:A,'Job Details'!I:I,"Not in schedule"))</f>
        <v>Pending</v>
      </c>
      <c r="C19" s="100" t="str">
        <f>IF(_xlfn.XLOOKUP(A19,'Job Details'!A:A,'Job Details'!AU:AU,"Job Details")=0,"Pending",_xlfn.XLOOKUP(A19,'Job Details'!A:A,'Job Details'!AU:AU,"Not In Job Details"))</f>
        <v>Pending</v>
      </c>
    </row>
    <row r="20" spans="1:3">
      <c r="A20" s="358" t="s">
        <v>21</v>
      </c>
      <c r="B20" s="100" t="str">
        <f>IF(_xlfn.XLOOKUP(A20,'Job Details'!A:A,'Job Details'!I:I,"Not in schedule")=0,"Pending",_xlfn.XLOOKUP(A20,'Job Details'!A:A,'Job Details'!I:I,"Not in schedule"))</f>
        <v>Pending</v>
      </c>
      <c r="C20" s="100" t="str">
        <f>IF(_xlfn.XLOOKUP(A20,'Job Details'!A:A,'Job Details'!AU:AU,"Job Details")=0,"Pending",_xlfn.XLOOKUP(A20,'Job Details'!A:A,'Job Details'!AU:AU,"Not In Job Details"))</f>
        <v>Pending</v>
      </c>
    </row>
    <row r="21" spans="1:3">
      <c r="A21" s="358" t="s">
        <v>22</v>
      </c>
      <c r="B21" s="100" t="str">
        <f>IF(_xlfn.XLOOKUP(A21,'Job Details'!A:A,'Job Details'!I:I,"Not in schedule")=0,"Pending",_xlfn.XLOOKUP(A21,'Job Details'!A:A,'Job Details'!I:I,"Not in schedule"))</f>
        <v>Pending</v>
      </c>
      <c r="C21" s="100" t="str">
        <f>IF(_xlfn.XLOOKUP(A21,'Job Details'!A:A,'Job Details'!AU:AU,"Job Details")=0,"Pending",_xlfn.XLOOKUP(A21,'Job Details'!A:A,'Job Details'!AU:AU,"Not In Job Details"))</f>
        <v>Pending</v>
      </c>
    </row>
    <row r="22" spans="1:3">
      <c r="A22" s="358" t="s">
        <v>23</v>
      </c>
      <c r="B22" s="100" t="str">
        <f>IF(_xlfn.XLOOKUP(A22,'Job Details'!A:A,'Job Details'!I:I,"Not in schedule")=0,"Pending",_xlfn.XLOOKUP(A22,'Job Details'!A:A,'Job Details'!I:I,"Not in schedule"))</f>
        <v>Pending</v>
      </c>
      <c r="C22" s="100" t="str">
        <f>IF(_xlfn.XLOOKUP(A22,'Job Details'!A:A,'Job Details'!AU:AU,"Job Details")=0,"Pending",_xlfn.XLOOKUP(A22,'Job Details'!A:A,'Job Details'!AU:AU,"Not In Job Details"))</f>
        <v>Pending</v>
      </c>
    </row>
    <row r="23" spans="1:3">
      <c r="A23" s="358" t="s">
        <v>24</v>
      </c>
      <c r="B23" s="100" t="str">
        <f>IF(_xlfn.XLOOKUP(A23,'Job Details'!A:A,'Job Details'!I:I,"Not in schedule")=0,"Pending",_xlfn.XLOOKUP(A23,'Job Details'!A:A,'Job Details'!I:I,"Not in schedule"))</f>
        <v>TR_RN_ContractPayroll_TR33200_Trigger_Box</v>
      </c>
      <c r="C23" s="100" t="str">
        <f>IF(_xlfn.XLOOKUP(A23,'Job Details'!A:A,'Job Details'!AU:AU,"Job Details")=0,"Pending",_xlfn.XLOOKUP(A23,'Job Details'!A:A,'Job Details'!AU:AU,"Not In Job Details"))</f>
        <v>Pending</v>
      </c>
    </row>
    <row r="24" spans="1:3">
      <c r="A24" s="358" t="s">
        <v>25</v>
      </c>
      <c r="B24" s="100" t="str">
        <f>IF(_xlfn.XLOOKUP(A24,'Job Details'!A:A,'Job Details'!I:I,"Not in schedule")=0,"Pending",_xlfn.XLOOKUP(A24,'Job Details'!A:A,'Job Details'!I:I,"Not in schedule"))</f>
        <v>Pending</v>
      </c>
      <c r="C24" s="100" t="str">
        <f>IF(_xlfn.XLOOKUP(A24,'Job Details'!A:A,'Job Details'!AU:AU,"Job Details")=0,"Pending",_xlfn.XLOOKUP(A24,'Job Details'!A:A,'Job Details'!AU:AU,"Not In Job Details"))</f>
        <v>Pending</v>
      </c>
    </row>
    <row r="25" spans="1:3">
      <c r="A25" s="358" t="s">
        <v>26</v>
      </c>
      <c r="B25" s="100" t="str">
        <f>IF(_xlfn.XLOOKUP(A25,'Job Details'!A:A,'Job Details'!I:I,"Not in schedule")=0,"Pending",_xlfn.XLOOKUP(A25,'Job Details'!A:A,'Job Details'!I:I,"Not in schedule"))</f>
        <v>Pending</v>
      </c>
      <c r="C25" s="100" t="str">
        <f>IF(_xlfn.XLOOKUP(A25,'Job Details'!A:A,'Job Details'!AU:AU,"Job Details")=0,"Pending",_xlfn.XLOOKUP(A25,'Job Details'!A:A,'Job Details'!AU:AU,"Not In Job Details"))</f>
        <v>Pending</v>
      </c>
    </row>
    <row r="26" spans="1:3">
      <c r="A26" s="358" t="s">
        <v>27</v>
      </c>
      <c r="B26" s="100" t="str">
        <f>IF(_xlfn.XLOOKUP(A26,'Job Details'!A:A,'Job Details'!I:I,"Not in schedule")=0,"Pending",_xlfn.XLOOKUP(A26,'Job Details'!A:A,'Job Details'!I:I,"Not in schedule"))</f>
        <v>Pending</v>
      </c>
      <c r="C26" s="100" t="str">
        <f>IF(_xlfn.XLOOKUP(A26,'Job Details'!A:A,'Job Details'!AU:AU,"Job Details")=0,"Pending",_xlfn.XLOOKUP(A26,'Job Details'!A:A,'Job Details'!AU:AU,"Not In Job Details"))</f>
        <v>Pending</v>
      </c>
    </row>
    <row r="27" spans="1:3">
      <c r="A27" s="358" t="s">
        <v>28</v>
      </c>
      <c r="B27" s="100" t="str">
        <f>IF(_xlfn.XLOOKUP(A27,'Job Details'!A:A,'Job Details'!I:I,"Not in schedule")=0,"Pending",_xlfn.XLOOKUP(A27,'Job Details'!A:A,'Job Details'!I:I,"Not in schedule"))</f>
        <v>Pending</v>
      </c>
      <c r="C27" s="100" t="str">
        <f>IF(_xlfn.XLOOKUP(A27,'Job Details'!A:A,'Job Details'!AU:AU,"Job Details")=0,"Pending",_xlfn.XLOOKUP(A27,'Job Details'!A:A,'Job Details'!AU:AU,"Not In Job Details"))</f>
        <v>Pending</v>
      </c>
    </row>
    <row r="28" spans="1:3">
      <c r="A28" s="358" t="s">
        <v>29</v>
      </c>
      <c r="B28" s="100" t="str">
        <f>IF(_xlfn.XLOOKUP(A28,'Job Details'!A:A,'Job Details'!I:I,"Not in schedule")=0,"Pending",_xlfn.XLOOKUP(A28,'Job Details'!A:A,'Job Details'!I:I,"Not in schedule"))</f>
        <v>TR_RN_ContractPayroll_TR33206_Trigger_Box</v>
      </c>
      <c r="C28" s="100" t="str">
        <f>IF(_xlfn.XLOOKUP(A28,'Job Details'!A:A,'Job Details'!AU:AU,"Job Details")=0,"Pending",_xlfn.XLOOKUP(A28,'Job Details'!A:A,'Job Details'!AU:AU,"Not In Job Details"))</f>
        <v>Pending</v>
      </c>
    </row>
    <row r="29" spans="1:3">
      <c r="A29" s="358" t="s">
        <v>30</v>
      </c>
      <c r="B29" s="100" t="str">
        <f>IF(_xlfn.XLOOKUP(A29,'Job Details'!A:A,'Job Details'!I:I,"Not in schedule")=0,"Pending",_xlfn.XLOOKUP(A29,'Job Details'!A:A,'Job Details'!I:I,"Not in schedule"))</f>
        <v>TR_RN_ContractPayroll_TR33103N_Trigger_Box</v>
      </c>
      <c r="C29" s="100" t="str">
        <f>IF(_xlfn.XLOOKUP(A29,'Job Details'!A:A,'Job Details'!AU:AU,"Job Details")=0,"Pending",_xlfn.XLOOKUP(A29,'Job Details'!A:A,'Job Details'!AU:AU,"Not In Job Details"))</f>
        <v>Pending</v>
      </c>
    </row>
    <row r="30" spans="1:3">
      <c r="A30" s="358" t="s">
        <v>31</v>
      </c>
      <c r="B30" s="100" t="str">
        <f>IF(_xlfn.XLOOKUP(A30,'Job Details'!A:A,'Job Details'!I:I,"Not in schedule")=0,"Pending",_xlfn.XLOOKUP(A30,'Job Details'!A:A,'Job Details'!I:I,"Not in schedule"))</f>
        <v>Pending</v>
      </c>
      <c r="C30" s="100" t="str">
        <f>IF(_xlfn.XLOOKUP(A30,'Job Details'!A:A,'Job Details'!AU:AU,"Job Details")=0,"Pending",_xlfn.XLOOKUP(A30,'Job Details'!A:A,'Job Details'!AU:AU,"Not In Job Details"))</f>
        <v>Pending</v>
      </c>
    </row>
    <row r="31" spans="1:3">
      <c r="A31" s="358" t="s">
        <v>32</v>
      </c>
      <c r="B31" s="100" t="str">
        <f>IF(_xlfn.XLOOKUP(A31,'Job Details'!A:A,'Job Details'!I:I,"Not in schedule")=0,"Pending",_xlfn.XLOOKUP(A31,'Job Details'!A:A,'Job Details'!I:I,"Not in schedule"))</f>
        <v>Pending</v>
      </c>
      <c r="C31" s="100" t="str">
        <f>IF(_xlfn.XLOOKUP(A31,'Job Details'!A:A,'Job Details'!AU:AU,"Job Details")=0,"Pending",_xlfn.XLOOKUP(A31,'Job Details'!A:A,'Job Details'!AU:AU,"Not In Job Details"))</f>
        <v>Pending</v>
      </c>
    </row>
    <row r="32" spans="1:3">
      <c r="A32" s="358" t="s">
        <v>33</v>
      </c>
      <c r="B32" s="100" t="str">
        <f>IF(_xlfn.XLOOKUP(A32,'Job Details'!A:A,'Job Details'!I:I,"Not in schedule")=0,"Pending",_xlfn.XLOOKUP(A32,'Job Details'!A:A,'Job Details'!I:I,"Not in schedule"))</f>
        <v>Pending</v>
      </c>
      <c r="C32" s="100" t="str">
        <f>IF(_xlfn.XLOOKUP(A32,'Job Details'!A:A,'Job Details'!AU:AU,"Job Details")=0,"Pending",_xlfn.XLOOKUP(A32,'Job Details'!A:A,'Job Details'!AU:AU,"Not In Job Details"))</f>
        <v>Pending</v>
      </c>
    </row>
    <row r="33" spans="1:3">
      <c r="A33" s="358" t="s">
        <v>34</v>
      </c>
      <c r="B33" s="100" t="str">
        <f>IF(_xlfn.XLOOKUP(A33,'Job Details'!A:A,'Job Details'!I:I,"Not in schedule")=0,"Pending",_xlfn.XLOOKUP(A33,'Job Details'!A:A,'Job Details'!I:I,"Not in schedule"))</f>
        <v>Pending</v>
      </c>
      <c r="C33" s="100" t="str">
        <f>IF(_xlfn.XLOOKUP(A33,'Job Details'!A:A,'Job Details'!AU:AU,"Job Details")=0,"Pending",_xlfn.XLOOKUP(A33,'Job Details'!A:A,'Job Details'!AU:AU,"Not In Job Details"))</f>
        <v>Pending</v>
      </c>
    </row>
    <row r="34" spans="1:3">
      <c r="A34" s="358" t="s">
        <v>35</v>
      </c>
      <c r="B34" s="100" t="str">
        <f>IF(_xlfn.XLOOKUP(A34,'Job Details'!A:A,'Job Details'!I:I,"Not in schedule")=0,"Pending",_xlfn.XLOOKUP(A34,'Job Details'!A:A,'Job Details'!I:I,"Not in schedule"))</f>
        <v>Pending</v>
      </c>
      <c r="C34" s="100" t="str">
        <f>IF(_xlfn.XLOOKUP(A34,'Job Details'!A:A,'Job Details'!AU:AU,"Job Details")=0,"Pending",_xlfn.XLOOKUP(A34,'Job Details'!A:A,'Job Details'!AU:AU,"Not In Job Details"))</f>
        <v>Pending</v>
      </c>
    </row>
    <row r="35" spans="1:3">
      <c r="A35" s="358" t="s">
        <v>36</v>
      </c>
      <c r="B35" s="100" t="str">
        <f>IF(_xlfn.XLOOKUP(A35,'Job Details'!A:A,'Job Details'!I:I,"Not in schedule")=0,"Pending",_xlfn.XLOOKUP(A35,'Job Details'!A:A,'Job Details'!I:I,"Not in schedule"))</f>
        <v>Pending</v>
      </c>
      <c r="C35" s="100" t="str">
        <f>IF(_xlfn.XLOOKUP(A35,'Job Details'!A:A,'Job Details'!AU:AU,"Job Details")=0,"Pending",_xlfn.XLOOKUP(A35,'Job Details'!A:A,'Job Details'!AU:AU,"Not In Job Details"))</f>
        <v>Pending</v>
      </c>
    </row>
    <row r="36" spans="1:3">
      <c r="A36" s="358" t="s">
        <v>37</v>
      </c>
      <c r="B36" s="100" t="str">
        <f>IF(_xlfn.XLOOKUP(A36,'Job Details'!A:A,'Job Details'!I:I,"Not in schedule")=0,"Pending",_xlfn.XLOOKUP(A36,'Job Details'!A:A,'Job Details'!I:I,"Not in schedule"))</f>
        <v>Pending</v>
      </c>
      <c r="C36" s="100" t="str">
        <f>IF(_xlfn.XLOOKUP(A36,'Job Details'!A:A,'Job Details'!AU:AU,"Job Details")=0,"Pending",_xlfn.XLOOKUP(A36,'Job Details'!A:A,'Job Details'!AU:AU,"Not In Job Details"))</f>
        <v>Pending</v>
      </c>
    </row>
    <row r="37" spans="1:3">
      <c r="A37" s="358" t="s">
        <v>38</v>
      </c>
      <c r="B37" s="100" t="str">
        <f>IF(_xlfn.XLOOKUP(A37,'Job Details'!A:A,'Job Details'!I:I,"Not in schedule")=0,"Pending",_xlfn.XLOOKUP(A37,'Job Details'!A:A,'Job Details'!I:I,"Not in schedule"))</f>
        <v>Pending</v>
      </c>
      <c r="C37" s="100" t="str">
        <f>IF(_xlfn.XLOOKUP(A37,'Job Details'!A:A,'Job Details'!AU:AU,"Job Details")=0,"Pending",_xlfn.XLOOKUP(A37,'Job Details'!A:A,'Job Details'!AU:AU,"Not In Job Details"))</f>
        <v>Pending</v>
      </c>
    </row>
    <row r="38" spans="1:3">
      <c r="A38" s="358" t="s">
        <v>39</v>
      </c>
      <c r="B38" s="100" t="str">
        <f>IF(_xlfn.XLOOKUP(A38,'Job Details'!A:A,'Job Details'!I:I,"Not in schedule")=0,"Pending",_xlfn.XLOOKUP(A38,'Job Details'!A:A,'Job Details'!I:I,"Not in schedule"))</f>
        <v>Pending</v>
      </c>
      <c r="C38" s="100" t="str">
        <f>IF(_xlfn.XLOOKUP(A38,'Job Details'!A:A,'Job Details'!AU:AU,"Job Details")=0,"Pending",_xlfn.XLOOKUP(A38,'Job Details'!A:A,'Job Details'!AU:AU,"Not In Job Details"))</f>
        <v>Pending</v>
      </c>
    </row>
    <row r="39" spans="1:3">
      <c r="A39" s="358" t="s">
        <v>40</v>
      </c>
      <c r="B39" s="100" t="str">
        <f>IF(_xlfn.XLOOKUP(A39,'Job Details'!A:A,'Job Details'!I:I,"Not in schedule")=0,"Pending",_xlfn.XLOOKUP(A39,'Job Details'!A:A,'Job Details'!I:I,"Not in schedule"))</f>
        <v>Pending</v>
      </c>
      <c r="C39" s="100" t="str">
        <f>IF(_xlfn.XLOOKUP(A39,'Job Details'!A:A,'Job Details'!AU:AU,"Job Details")=0,"Pending",_xlfn.XLOOKUP(A39,'Job Details'!A:A,'Job Details'!AU:AU,"Not In Job Details"))</f>
        <v>Pending</v>
      </c>
    </row>
    <row r="40" spans="1:3">
      <c r="A40" s="358" t="s">
        <v>41</v>
      </c>
      <c r="B40" s="100" t="str">
        <f>IF(_xlfn.XLOOKUP(A40,'Job Details'!A:A,'Job Details'!I:I,"Not in schedule")=0,"Pending",_xlfn.XLOOKUP(A40,'Job Details'!A:A,'Job Details'!I:I,"Not in schedule"))</f>
        <v>Pending</v>
      </c>
      <c r="C40" s="100" t="str">
        <f>IF(_xlfn.XLOOKUP(A40,'Job Details'!A:A,'Job Details'!AU:AU,"Job Details")=0,"Pending",_xlfn.XLOOKUP(A40,'Job Details'!A:A,'Job Details'!AU:AU,"Not In Job Details"))</f>
        <v>Pending</v>
      </c>
    </row>
    <row r="41" spans="1:3">
      <c r="A41" s="358" t="s">
        <v>42</v>
      </c>
      <c r="B41" s="100" t="str">
        <f>IF(_xlfn.XLOOKUP(A41,'Job Details'!A:A,'Job Details'!I:I,"Not in schedule")=0,"Pending",_xlfn.XLOOKUP(A41,'Job Details'!A:A,'Job Details'!I:I,"Not in schedule"))</f>
        <v>Pending</v>
      </c>
      <c r="C41" s="100" t="str">
        <f>IF(_xlfn.XLOOKUP(A41,'Job Details'!A:A,'Job Details'!AU:AU,"Job Details")=0,"Pending",_xlfn.XLOOKUP(A41,'Job Details'!A:A,'Job Details'!AU:AU,"Not In Job Details"))</f>
        <v>Pending</v>
      </c>
    </row>
    <row r="42" spans="1:3">
      <c r="A42" s="358" t="s">
        <v>43</v>
      </c>
      <c r="B42" s="100" t="str">
        <f>IF(_xlfn.XLOOKUP(A42,'Job Details'!A:A,'Job Details'!I:I,"Not in schedule")=0,"Pending",_xlfn.XLOOKUP(A42,'Job Details'!A:A,'Job Details'!I:I,"Not in schedule"))</f>
        <v>Pending</v>
      </c>
      <c r="C42" s="100" t="str">
        <f>IF(_xlfn.XLOOKUP(A42,'Job Details'!A:A,'Job Details'!AU:AU,"Job Details")=0,"Pending",_xlfn.XLOOKUP(A42,'Job Details'!A:A,'Job Details'!AU:AU,"Not In Job Details"))</f>
        <v>Pending</v>
      </c>
    </row>
    <row r="43" spans="1:3">
      <c r="A43" s="358" t="s">
        <v>44</v>
      </c>
      <c r="B43" s="100" t="str">
        <f>IF(_xlfn.XLOOKUP(A43,'Job Details'!A:A,'Job Details'!I:I,"Not in schedule")=0,"Pending",_xlfn.XLOOKUP(A43,'Job Details'!A:A,'Job Details'!I:I,"Not in schedule"))</f>
        <v>Pending</v>
      </c>
      <c r="C43" s="100" t="str">
        <f>IF(_xlfn.XLOOKUP(A43,'Job Details'!A:A,'Job Details'!AU:AU,"Job Details")=0,"Pending",_xlfn.XLOOKUP(A43,'Job Details'!A:A,'Job Details'!AU:AU,"Not In Job Details"))</f>
        <v>Pending</v>
      </c>
    </row>
    <row r="44" spans="1:3">
      <c r="A44" s="358" t="s">
        <v>45</v>
      </c>
      <c r="B44" s="100" t="str">
        <f>IF(_xlfn.XLOOKUP(A44,'Job Details'!A:A,'Job Details'!I:I,"Not in schedule")=0,"Pending",_xlfn.XLOOKUP(A44,'Job Details'!A:A,'Job Details'!I:I,"Not in schedule"))</f>
        <v>Pending</v>
      </c>
      <c r="C44" s="100" t="str">
        <f>IF(_xlfn.XLOOKUP(A44,'Job Details'!A:A,'Job Details'!AU:AU,"Job Details")=0,"Pending",_xlfn.XLOOKUP(A44,'Job Details'!A:A,'Job Details'!AU:AU,"Not In Job Details"))</f>
        <v>Pending</v>
      </c>
    </row>
    <row r="45" spans="1:3">
      <c r="A45" s="358" t="s">
        <v>46</v>
      </c>
      <c r="B45" s="100" t="str">
        <f>IF(_xlfn.XLOOKUP(A45,'Job Details'!A:A,'Job Details'!I:I,"Not in schedule")=0,"Pending",_xlfn.XLOOKUP(A45,'Job Details'!A:A,'Job Details'!I:I,"Not in schedule"))</f>
        <v>Pending</v>
      </c>
      <c r="C45" s="100" t="str">
        <f>IF(_xlfn.XLOOKUP(A45,'Job Details'!A:A,'Job Details'!AU:AU,"Job Details")=0,"Pending",_xlfn.XLOOKUP(A45,'Job Details'!A:A,'Job Details'!AU:AU,"Not In Job Details"))</f>
        <v>Pending</v>
      </c>
    </row>
    <row r="46" spans="1:3">
      <c r="A46" s="358" t="s">
        <v>47</v>
      </c>
      <c r="B46" s="100" t="str">
        <f>IF(_xlfn.XLOOKUP(A46,'Job Details'!A:A,'Job Details'!I:I,"Not in schedule")=0,"Pending",_xlfn.XLOOKUP(A46,'Job Details'!A:A,'Job Details'!I:I,"Not in schedule"))</f>
        <v>Pending</v>
      </c>
      <c r="C46" s="100" t="str">
        <f>IF(_xlfn.XLOOKUP(A46,'Job Details'!A:A,'Job Details'!AU:AU,"Job Details")=0,"Pending",_xlfn.XLOOKUP(A46,'Job Details'!A:A,'Job Details'!AU:AU,"Not In Job Details"))</f>
        <v>Pending</v>
      </c>
    </row>
    <row r="47" spans="1:3">
      <c r="A47" s="358" t="s">
        <v>48</v>
      </c>
      <c r="B47" s="100" t="str">
        <f>IF(_xlfn.XLOOKUP(A47,'Job Details'!A:A,'Job Details'!I:I,"Not in schedule")=0,"Pending",_xlfn.XLOOKUP(A47,'Job Details'!A:A,'Job Details'!I:I,"Not in schedule"))</f>
        <v>Pending</v>
      </c>
      <c r="C47" s="100" t="str">
        <f>IF(_xlfn.XLOOKUP(A47,'Job Details'!A:A,'Job Details'!AU:AU,"Job Details")=0,"Pending",_xlfn.XLOOKUP(A47,'Job Details'!A:A,'Job Details'!AU:AU,"Not In Job Details"))</f>
        <v>Pending</v>
      </c>
    </row>
    <row r="48" spans="1:3">
      <c r="A48" s="358" t="s">
        <v>49</v>
      </c>
      <c r="B48" s="100" t="str">
        <f>IF(_xlfn.XLOOKUP(A48,'Job Details'!A:A,'Job Details'!I:I,"Not in schedule")=0,"Pending",_xlfn.XLOOKUP(A48,'Job Details'!A:A,'Job Details'!I:I,"Not in schedule"))</f>
        <v>Pending</v>
      </c>
      <c r="C48" s="100" t="str">
        <f>IF(_xlfn.XLOOKUP(A48,'Job Details'!A:A,'Job Details'!AU:AU,"Job Details")=0,"Pending",_xlfn.XLOOKUP(A48,'Job Details'!A:A,'Job Details'!AU:AU,"Not In Job Details"))</f>
        <v>Pending</v>
      </c>
    </row>
    <row r="49" spans="1:6">
      <c r="A49" s="358" t="s">
        <v>50</v>
      </c>
      <c r="B49" s="100" t="str">
        <f>IF(_xlfn.XLOOKUP(A49,'Job Details'!A:A,'Job Details'!I:I,"Not in schedule")=0,"Pending",_xlfn.XLOOKUP(A49,'Job Details'!A:A,'Job Details'!I:I,"Not in schedule"))</f>
        <v>Pending</v>
      </c>
      <c r="C49" s="100" t="str">
        <f>IF(_xlfn.XLOOKUP(A49,'Job Details'!A:A,'Job Details'!AU:AU,"Job Details")=0,"Pending",_xlfn.XLOOKUP(A49,'Job Details'!A:A,'Job Details'!AU:AU,"Not In Job Details"))</f>
        <v>Pending</v>
      </c>
    </row>
    <row r="50" spans="1:6">
      <c r="A50" s="358" t="s">
        <v>51</v>
      </c>
      <c r="B50" s="100" t="str">
        <f>IF(_xlfn.XLOOKUP(A50,'Job Details'!A:A,'Job Details'!I:I,"Not in schedule")=0,"Pending",_xlfn.XLOOKUP(A50,'Job Details'!A:A,'Job Details'!I:I,"Not in schedule"))</f>
        <v>Pending</v>
      </c>
      <c r="C50" s="100" t="str">
        <f>IF(_xlfn.XLOOKUP(A50,'Job Details'!A:A,'Job Details'!AU:AU,"Job Details")=0,"Pending",_xlfn.XLOOKUP(A50,'Job Details'!A:A,'Job Details'!AU:AU,"Not In Job Details"))</f>
        <v>Pending</v>
      </c>
    </row>
    <row r="51" spans="1:6">
      <c r="A51" s="358" t="s">
        <v>52</v>
      </c>
      <c r="B51" s="100" t="str">
        <f>IF(_xlfn.XLOOKUP(A51,'Job Details'!A:A,'Job Details'!I:I,"Not in schedule")=0,"Pending",_xlfn.XLOOKUP(A51,'Job Details'!A:A,'Job Details'!I:I,"Not in schedule"))</f>
        <v>Pending</v>
      </c>
      <c r="C51" s="100" t="str">
        <f>IF(_xlfn.XLOOKUP(A51,'Job Details'!A:A,'Job Details'!AU:AU,"Job Details")=0,"Pending",_xlfn.XLOOKUP(A51,'Job Details'!A:A,'Job Details'!AU:AU,"Not In Job Details"))</f>
        <v>Pending</v>
      </c>
    </row>
    <row r="52" spans="1:6">
      <c r="A52" s="363" t="s">
        <v>53</v>
      </c>
      <c r="B52" s="364" t="str">
        <f>IF(_xlfn.XLOOKUP(A52,'Job Details'!A:A,'Job Details'!I:I,"Not in schedule")=0,"Pending",_xlfn.XLOOKUP(A52,'Job Details'!A:A,'Job Details'!I:I,"Not in schedule"))</f>
        <v>TR_RN_Maintain_TR33106N_Trigger_Box</v>
      </c>
      <c r="C52" s="100" t="str">
        <f>IF(_xlfn.XLOOKUP(A52,'Job Details'!A:A,'Job Details'!AU:AU,"Job Details")=0,"Pending",_xlfn.XLOOKUP(A52,'Job Details'!A:A,'Job Details'!AU:AU,"Not In Job Details"))</f>
        <v>Pass</v>
      </c>
      <c r="D52" s="357"/>
      <c r="F52" s="357"/>
    </row>
    <row r="53" spans="1:6">
      <c r="A53" s="358" t="s">
        <v>54</v>
      </c>
      <c r="B53" s="100" t="str">
        <f>IF(_xlfn.XLOOKUP(A53,'Job Details'!A:A,'Job Details'!I:I,"Not in schedule")=0,"Pending",_xlfn.XLOOKUP(A53,'Job Details'!A:A,'Job Details'!I:I,"Not in schedule"))</f>
        <v>TR_RN_Maintain_TR33107_Trigger_Box</v>
      </c>
      <c r="C53" s="100" t="str">
        <f>IF(_xlfn.XLOOKUP(A53,'Job Details'!A:A,'Job Details'!AU:AU,"Job Details")=0,"Pending",_xlfn.XLOOKUP(A53,'Job Details'!A:A,'Job Details'!AU:AU,"Not In Job Details"))</f>
        <v>Pass</v>
      </c>
    </row>
    <row r="54" spans="1:6">
      <c r="A54" s="358" t="s">
        <v>55</v>
      </c>
      <c r="B54" s="100" t="str">
        <f>IF(_xlfn.XLOOKUP(A54,'Job Details'!A:A,'Job Details'!I:I,"Not in schedule")=0,"Pending",_xlfn.XLOOKUP(A54,'Job Details'!A:A,'Job Details'!I:I,"Not in schedule"))</f>
        <v>TR_RN_Maintain_TR33102_Trigger_Box</v>
      </c>
      <c r="C54" s="100" t="str">
        <f>IF(_xlfn.XLOOKUP(A54,'Job Details'!A:A,'Job Details'!AU:AU,"Job Details")=0,"Pending",_xlfn.XLOOKUP(A54,'Job Details'!A:A,'Job Details'!AU:AU,"Not In Job Details"))</f>
        <v>Pass</v>
      </c>
    </row>
    <row r="55" spans="1:6">
      <c r="A55" s="358" t="s">
        <v>56</v>
      </c>
      <c r="B55" s="100" t="str">
        <f>IF(_xlfn.XLOOKUP(A55,'Job Details'!A:A,'Job Details'!I:I,"Not in schedule")=0,"Pending",_xlfn.XLOOKUP(A55,'Job Details'!A:A,'Job Details'!I:I,"Not in schedule"))</f>
        <v>Pending</v>
      </c>
      <c r="C55" s="100" t="str">
        <f>IF(_xlfn.XLOOKUP(A55,'Job Details'!A:A,'Job Details'!AU:AU,"Job Details")=0,"Pending",_xlfn.XLOOKUP(A55,'Job Details'!A:A,'Job Details'!AU:AU,"Not In Job Details"))</f>
        <v>Pending</v>
      </c>
    </row>
    <row r="56" spans="1:6">
      <c r="A56" s="358" t="s">
        <v>57</v>
      </c>
      <c r="B56" s="100" t="str">
        <f>IF(_xlfn.XLOOKUP(A56,'Job Details'!A:A,'Job Details'!I:I,"Not in schedule")=0,"Pending",_xlfn.XLOOKUP(A56,'Job Details'!A:A,'Job Details'!I:I,"Not in schedule"))</f>
        <v>Pending</v>
      </c>
      <c r="C56" s="100" t="str">
        <f>IF(_xlfn.XLOOKUP(A56,'Job Details'!A:A,'Job Details'!AU:AU,"Job Details")=0,"Pending",_xlfn.XLOOKUP(A56,'Job Details'!A:A,'Job Details'!AU:AU,"Not In Job Details"))</f>
        <v>Pending</v>
      </c>
    </row>
    <row r="57" spans="1:6">
      <c r="A57" s="358" t="s">
        <v>58</v>
      </c>
      <c r="B57" s="100" t="str">
        <f>IF(_xlfn.XLOOKUP(A57,'Job Details'!A:A,'Job Details'!I:I,"Not in schedule")=0,"Pending",_xlfn.XLOOKUP(A57,'Job Details'!A:A,'Job Details'!I:I,"Not in schedule"))</f>
        <v>Pending</v>
      </c>
      <c r="C57" s="100" t="str">
        <f>IF(_xlfn.XLOOKUP(A57,'Job Details'!A:A,'Job Details'!AU:AU,"Job Details")=0,"Pending",_xlfn.XLOOKUP(A57,'Job Details'!A:A,'Job Details'!AU:AU,"Not In Job Details"))</f>
        <v>Pending</v>
      </c>
    </row>
    <row r="58" spans="1:6">
      <c r="A58" s="358" t="s">
        <v>59</v>
      </c>
      <c r="B58" s="100" t="str">
        <f>IF(_xlfn.XLOOKUP(A58,'Job Details'!A:A,'Job Details'!I:I,"Not in schedule")=0,"Pending",_xlfn.XLOOKUP(A58,'Job Details'!A:A,'Job Details'!I:I,"Not in schedule"))</f>
        <v>Pending</v>
      </c>
      <c r="C58" s="100" t="str">
        <f>IF(_xlfn.XLOOKUP(A58,'Job Details'!A:A,'Job Details'!AU:AU,"Job Details")=0,"Pending",_xlfn.XLOOKUP(A58,'Job Details'!A:A,'Job Details'!AU:AU,"Not In Job Details"))</f>
        <v>Pending</v>
      </c>
    </row>
    <row r="59" spans="1:6">
      <c r="A59" s="358" t="s">
        <v>60</v>
      </c>
      <c r="B59" s="100" t="str">
        <f>IF(_xlfn.XLOOKUP(A59,'Job Details'!A:A,'Job Details'!I:I,"Not in schedule")=0,"Pending",_xlfn.XLOOKUP(A59,'Job Details'!A:A,'Job Details'!I:I,"Not in schedule"))</f>
        <v>Pending</v>
      </c>
      <c r="C59" s="100" t="str">
        <f>IF(_xlfn.XLOOKUP(A59,'Job Details'!A:A,'Job Details'!AU:AU,"Job Details")=0,"Pending",_xlfn.XLOOKUP(A59,'Job Details'!A:A,'Job Details'!AU:AU,"Not In Job Details"))</f>
        <v>Pass</v>
      </c>
    </row>
    <row r="60" spans="1:6">
      <c r="A60" s="358" t="s">
        <v>61</v>
      </c>
      <c r="B60" s="100" t="str">
        <f>IF(_xlfn.XLOOKUP(A60,'Job Details'!A:A,'Job Details'!I:I,"Not in schedule")=0,"Pending",_xlfn.XLOOKUP(A60,'Job Details'!A:A,'Job Details'!I:I,"Not in schedule"))</f>
        <v>TR_RN_ContractPayroll_TR33103N_Trigger_Box</v>
      </c>
      <c r="C60" s="100" t="str">
        <f>IF(_xlfn.XLOOKUP(A60,'Job Details'!A:A,'Job Details'!AU:AU,"Job Details")=0,"Pending",_xlfn.XLOOKUP(A60,'Job Details'!A:A,'Job Details'!AU:AU,"Not In Job Details"))</f>
        <v>Pending</v>
      </c>
    </row>
    <row r="61" spans="1:6">
      <c r="A61" s="358" t="s">
        <v>62</v>
      </c>
      <c r="B61" s="100" t="str">
        <f>IF(_xlfn.XLOOKUP(A61,'Job Details'!A:A,'Job Details'!I:I,"Not in schedule")=0,"Pending",_xlfn.XLOOKUP(A61,'Job Details'!A:A,'Job Details'!I:I,"Not in schedule"))</f>
        <v>TR_RN_ContractPayroll_TR33103N_Trigger_Box</v>
      </c>
      <c r="C61" s="100" t="str">
        <f>IF(_xlfn.XLOOKUP(A61,'Job Details'!A:A,'Job Details'!AU:AU,"Job Details")=0,"Pending",_xlfn.XLOOKUP(A61,'Job Details'!A:A,'Job Details'!AU:AU,"Not In Job Details"))</f>
        <v>Pending</v>
      </c>
    </row>
    <row r="62" spans="1:6">
      <c r="A62" s="358" t="s">
        <v>63</v>
      </c>
      <c r="B62" s="100" t="str">
        <f>IF(_xlfn.XLOOKUP(A62,'Job Details'!A:A,'Job Details'!I:I,"Not in schedule")=0,"Pending",_xlfn.XLOOKUP(A62,'Job Details'!A:A,'Job Details'!I:I,"Not in schedule"))</f>
        <v>Pending</v>
      </c>
      <c r="C62" s="100" t="str">
        <f>IF(_xlfn.XLOOKUP(A62,'Job Details'!A:A,'Job Details'!AU:AU,"Job Details")=0,"Pending",_xlfn.XLOOKUP(A62,'Job Details'!A:A,'Job Details'!AU:AU,"Not In Job Details"))</f>
        <v>Pending</v>
      </c>
    </row>
    <row r="63" spans="1:6">
      <c r="A63" s="358" t="s">
        <v>64</v>
      </c>
      <c r="B63" s="100" t="str">
        <f>IF(_xlfn.XLOOKUP(A63,'Job Details'!A:A,'Job Details'!I:I,"Not in schedule")=0,"Pending",_xlfn.XLOOKUP(A63,'Job Details'!A:A,'Job Details'!I:I,"Not in schedule"))</f>
        <v>Pending</v>
      </c>
      <c r="C63" s="100" t="str">
        <f>IF(_xlfn.XLOOKUP(A63,'Job Details'!A:A,'Job Details'!AU:AU,"Job Details")=0,"Pending",_xlfn.XLOOKUP(A63,'Job Details'!A:A,'Job Details'!AU:AU,"Not In Job Details"))</f>
        <v>Pending</v>
      </c>
    </row>
    <row r="64" spans="1:6">
      <c r="A64" s="358" t="s">
        <v>65</v>
      </c>
      <c r="B64" s="100" t="str">
        <f>IF(_xlfn.XLOOKUP(A64,'Job Details'!A:A,'Job Details'!I:I,"Not in schedule")=0,"Pending",_xlfn.XLOOKUP(A64,'Job Details'!A:A,'Job Details'!I:I,"Not in schedule"))</f>
        <v>Pending</v>
      </c>
      <c r="C64" s="100" t="str">
        <f>IF(_xlfn.XLOOKUP(A64,'Job Details'!A:A,'Job Details'!AU:AU,"Job Details")=0,"Pending",_xlfn.XLOOKUP(A64,'Job Details'!A:A,'Job Details'!AU:AU,"Not In Job Details"))</f>
        <v>Pending</v>
      </c>
    </row>
    <row r="65" spans="1:3">
      <c r="A65" s="358" t="s">
        <v>66</v>
      </c>
      <c r="B65" s="100" t="str">
        <f>IF(_xlfn.XLOOKUP(A65,'Job Details'!A:A,'Job Details'!I:I,"Not in schedule")=0,"Pending",_xlfn.XLOOKUP(A65,'Job Details'!A:A,'Job Details'!I:I,"Not in schedule"))</f>
        <v>Pending</v>
      </c>
      <c r="C65" s="100" t="str">
        <f>IF(_xlfn.XLOOKUP(A65,'Job Details'!A:A,'Job Details'!AU:AU,"Job Details")=0,"Pending",_xlfn.XLOOKUP(A65,'Job Details'!A:A,'Job Details'!AU:AU,"Not In Job Details"))</f>
        <v>Pending</v>
      </c>
    </row>
    <row r="66" spans="1:3">
      <c r="A66" s="358" t="s">
        <v>67</v>
      </c>
      <c r="B66" s="100" t="str">
        <f>IF(_xlfn.XLOOKUP(A66,'Job Details'!A:A,'Job Details'!I:I,"Not in schedule")=0,"Pending",_xlfn.XLOOKUP(A66,'Job Details'!A:A,'Job Details'!I:I,"Not in schedule"))</f>
        <v>Pending</v>
      </c>
      <c r="C66" s="100" t="str">
        <f>IF(_xlfn.XLOOKUP(A66,'Job Details'!A:A,'Job Details'!AU:AU,"Job Details")=0,"Pending",_xlfn.XLOOKUP(A66,'Job Details'!A:A,'Job Details'!AU:AU,"Not In Job Details"))</f>
        <v>Pending</v>
      </c>
    </row>
    <row r="67" spans="1:3">
      <c r="A67" s="358" t="s">
        <v>68</v>
      </c>
      <c r="B67" s="100" t="str">
        <f>IF(_xlfn.XLOOKUP(A67,'Job Details'!A:A,'Job Details'!I:I,"Not in schedule")=0,"Pending",_xlfn.XLOOKUP(A67,'Job Details'!A:A,'Job Details'!I:I,"Not in schedule"))</f>
        <v>TR_RN_ContractPayroll_TR33103N_Trigger_Box</v>
      </c>
      <c r="C67" s="100" t="str">
        <f>IF(_xlfn.XLOOKUP(A67,'Job Details'!A:A,'Job Details'!AU:AU,"Job Details")=0,"Pending",_xlfn.XLOOKUP(A67,'Job Details'!A:A,'Job Details'!AU:AU,"Not In Job Details"))</f>
        <v>Pending</v>
      </c>
    </row>
    <row r="68" spans="1:3">
      <c r="A68" s="358" t="s">
        <v>69</v>
      </c>
      <c r="B68" s="100" t="str">
        <f>IF(_xlfn.XLOOKUP(A68,'Job Details'!A:A,'Job Details'!I:I,"Not in schedule")=0,"Pending",_xlfn.XLOOKUP(A68,'Job Details'!A:A,'Job Details'!I:I,"Not in schedule"))</f>
        <v>Pending</v>
      </c>
      <c r="C68" s="100" t="str">
        <f>IF(_xlfn.XLOOKUP(A68,'Job Details'!A:A,'Job Details'!AU:AU,"Job Details")=0,"Pending",_xlfn.XLOOKUP(A68,'Job Details'!A:A,'Job Details'!AU:AU,"Not In Job Details"))</f>
        <v>Pending</v>
      </c>
    </row>
    <row r="69" spans="1:3">
      <c r="A69" s="358" t="s">
        <v>70</v>
      </c>
      <c r="B69" s="100" t="str">
        <f>IF(_xlfn.XLOOKUP(A69,'Job Details'!A:A,'Job Details'!I:I,"Not in schedule")=0,"Pending",_xlfn.XLOOKUP(A69,'Job Details'!A:A,'Job Details'!I:I,"Not in schedule"))</f>
        <v>Pending</v>
      </c>
      <c r="C69" s="100" t="str">
        <f>IF(_xlfn.XLOOKUP(A69,'Job Details'!A:A,'Job Details'!AU:AU,"Job Details")=0,"Pending",_xlfn.XLOOKUP(A69,'Job Details'!A:A,'Job Details'!AU:AU,"Not In Job Details"))</f>
        <v>Pending</v>
      </c>
    </row>
    <row r="70" spans="1:3">
      <c r="A70" s="358" t="s">
        <v>71</v>
      </c>
      <c r="B70" s="100" t="str">
        <f>IF(_xlfn.XLOOKUP(A70,'Job Details'!A:A,'Job Details'!I:I,"Not in schedule")=0,"Pending",_xlfn.XLOOKUP(A70,'Job Details'!A:A,'Job Details'!I:I,"Not in schedule"))</f>
        <v>Pending</v>
      </c>
      <c r="C70" s="100" t="str">
        <f>IF(_xlfn.XLOOKUP(A70,'Job Details'!A:A,'Job Details'!AU:AU,"Job Details")=0,"Pending",_xlfn.XLOOKUP(A70,'Job Details'!A:A,'Job Details'!AU:AU,"Not In Job Details"))</f>
        <v>Pending</v>
      </c>
    </row>
    <row r="71" spans="1:3">
      <c r="A71" s="358" t="s">
        <v>72</v>
      </c>
      <c r="B71" s="100" t="str">
        <f>IF(_xlfn.XLOOKUP(A71,'Job Details'!A:A,'Job Details'!I:I,"Not in schedule")=0,"Pending",_xlfn.XLOOKUP(A71,'Job Details'!A:A,'Job Details'!I:I,"Not in schedule"))</f>
        <v>Pending</v>
      </c>
      <c r="C71" s="100" t="str">
        <f>IF(_xlfn.XLOOKUP(A71,'Job Details'!A:A,'Job Details'!AU:AU,"Job Details")=0,"Pending",_xlfn.XLOOKUP(A71,'Job Details'!A:A,'Job Details'!AU:AU,"Not In Job Details"))</f>
        <v>Pending</v>
      </c>
    </row>
    <row r="72" spans="1:3">
      <c r="A72" s="358" t="s">
        <v>73</v>
      </c>
      <c r="B72" s="100" t="str">
        <f>IF(_xlfn.XLOOKUP(A72,'Job Details'!A:A,'Job Details'!I:I,"Not in schedule")=0,"Pending",_xlfn.XLOOKUP(A72,'Job Details'!A:A,'Job Details'!I:I,"Not in schedule"))</f>
        <v>Pending</v>
      </c>
      <c r="C72" s="100" t="str">
        <f>IF(_xlfn.XLOOKUP(A72,'Job Details'!A:A,'Job Details'!AU:AU,"Job Details")=0,"Pending",_xlfn.XLOOKUP(A72,'Job Details'!A:A,'Job Details'!AU:AU,"Not In Job Details"))</f>
        <v>Pending</v>
      </c>
    </row>
    <row r="73" spans="1:3">
      <c r="A73" s="358" t="s">
        <v>74</v>
      </c>
      <c r="B73" s="100" t="str">
        <f>IF(_xlfn.XLOOKUP(A73,'Job Details'!A:A,'Job Details'!I:I,"Not in schedule")=0,"Pending",_xlfn.XLOOKUP(A73,'Job Details'!A:A,'Job Details'!I:I,"Not in schedule"))</f>
        <v>Pending</v>
      </c>
      <c r="C73" s="100" t="str">
        <f>IF(_xlfn.XLOOKUP(A73,'Job Details'!A:A,'Job Details'!AU:AU,"Job Details")=0,"Pending",_xlfn.XLOOKUP(A73,'Job Details'!A:A,'Job Details'!AU:AU,"Not In Job Details"))</f>
        <v>Pending</v>
      </c>
    </row>
    <row r="74" spans="1:3">
      <c r="A74" s="358" t="s">
        <v>75</v>
      </c>
      <c r="B74" s="100" t="str">
        <f>IF(_xlfn.XLOOKUP(A74,'Job Details'!A:A,'Job Details'!I:I,"Not in schedule")=0,"Pending",_xlfn.XLOOKUP(A74,'Job Details'!A:A,'Job Details'!I:I,"Not in schedule"))</f>
        <v>Pending</v>
      </c>
      <c r="C74" s="100" t="str">
        <f>IF(_xlfn.XLOOKUP(A74,'Job Details'!A:A,'Job Details'!AU:AU,"Job Details")=0,"Pending",_xlfn.XLOOKUP(A74,'Job Details'!A:A,'Job Details'!AU:AU,"Not In Job Details"))</f>
        <v>Pending</v>
      </c>
    </row>
    <row r="75" spans="1:3">
      <c r="A75" s="358" t="s">
        <v>76</v>
      </c>
      <c r="B75" s="100" t="str">
        <f>IF(_xlfn.XLOOKUP(A75,'Job Details'!A:A,'Job Details'!I:I,"Not in schedule")=0,"Pending",_xlfn.XLOOKUP(A75,'Job Details'!A:A,'Job Details'!I:I,"Not in schedule"))</f>
        <v>Pending</v>
      </c>
      <c r="C75" s="100" t="str">
        <f>IF(_xlfn.XLOOKUP(A75,'Job Details'!A:A,'Job Details'!AU:AU,"Job Details")=0,"Pending",_xlfn.XLOOKUP(A75,'Job Details'!A:A,'Job Details'!AU:AU,"Not In Job Details"))</f>
        <v>Pending</v>
      </c>
    </row>
    <row r="76" spans="1:3">
      <c r="A76" s="358" t="s">
        <v>77</v>
      </c>
      <c r="B76" s="100" t="str">
        <f>IF(_xlfn.XLOOKUP(A76,'Job Details'!A:A,'Job Details'!I:I,"Not in schedule")=0,"Pending",_xlfn.XLOOKUP(A76,'Job Details'!A:A,'Job Details'!I:I,"Not in schedule"))</f>
        <v>Pending</v>
      </c>
      <c r="C76" s="100" t="str">
        <f>IF(_xlfn.XLOOKUP(A76,'Job Details'!A:A,'Job Details'!AU:AU,"Job Details")=0,"Pending",_xlfn.XLOOKUP(A76,'Job Details'!A:A,'Job Details'!AU:AU,"Not In Job Details"))</f>
        <v>Pending</v>
      </c>
    </row>
    <row r="77" spans="1:3">
      <c r="A77" s="358" t="s">
        <v>78</v>
      </c>
      <c r="B77" s="100" t="str">
        <f>IF(_xlfn.XLOOKUP(A77,'Job Details'!A:A,'Job Details'!I:I,"Not in schedule")=0,"Pending",_xlfn.XLOOKUP(A77,'Job Details'!A:A,'Job Details'!I:I,"Not in schedule"))</f>
        <v>Pending</v>
      </c>
      <c r="C77" s="100" t="str">
        <f>IF(_xlfn.XLOOKUP(A77,'Job Details'!A:A,'Job Details'!AU:AU,"Job Details")=0,"Pending",_xlfn.XLOOKUP(A77,'Job Details'!A:A,'Job Details'!AU:AU,"Not In Job Details"))</f>
        <v>Pending</v>
      </c>
    </row>
    <row r="78" spans="1:3">
      <c r="A78" s="358" t="s">
        <v>79</v>
      </c>
      <c r="B78" s="100" t="str">
        <f>IF(_xlfn.XLOOKUP(A78,'Job Details'!A:A,'Job Details'!I:I,"Not in schedule")=0,"Pending",_xlfn.XLOOKUP(A78,'Job Details'!A:A,'Job Details'!I:I,"Not in schedule"))</f>
        <v>Pending</v>
      </c>
      <c r="C78" s="100" t="str">
        <f>IF(_xlfn.XLOOKUP(A78,'Job Details'!A:A,'Job Details'!AU:AU,"Job Details")=0,"Pending",_xlfn.XLOOKUP(A78,'Job Details'!A:A,'Job Details'!AU:AU,"Not In Job Details"))</f>
        <v>Pending</v>
      </c>
    </row>
    <row r="79" spans="1:3">
      <c r="A79" s="358" t="s">
        <v>80</v>
      </c>
      <c r="B79" s="100" t="str">
        <f>IF(_xlfn.XLOOKUP(A79,'Job Details'!A:A,'Job Details'!I:I,"Not in schedule")=0,"Pending",_xlfn.XLOOKUP(A79,'Job Details'!A:A,'Job Details'!I:I,"Not in schedule"))</f>
        <v>Pending</v>
      </c>
      <c r="C79" s="100" t="str">
        <f>IF(_xlfn.XLOOKUP(A79,'Job Details'!A:A,'Job Details'!AU:AU,"Job Details")=0,"Pending",_xlfn.XLOOKUP(A79,'Job Details'!A:A,'Job Details'!AU:AU,"Not In Job Details"))</f>
        <v>Pending</v>
      </c>
    </row>
    <row r="80" spans="1:3">
      <c r="A80" s="358" t="s">
        <v>81</v>
      </c>
      <c r="B80" s="100" t="str">
        <f>IF(_xlfn.XLOOKUP(A80,'Job Details'!A:A,'Job Details'!I:I,"Not in schedule")=0,"Pending",_xlfn.XLOOKUP(A80,'Job Details'!A:A,'Job Details'!I:I,"Not in schedule"))</f>
        <v>TR_RN_ExecutivePayroll_TR33201_Trigger_Box</v>
      </c>
      <c r="C80" s="100" t="str">
        <f>IF(_xlfn.XLOOKUP(A80,'Job Details'!A:A,'Job Details'!AU:AU,"Job Details")=0,"Pending",_xlfn.XLOOKUP(A80,'Job Details'!A:A,'Job Details'!AU:AU,"Not In Job Details"))</f>
        <v>Pending</v>
      </c>
    </row>
    <row r="81" spans="1:3">
      <c r="A81" s="358" t="s">
        <v>82</v>
      </c>
      <c r="B81" s="100" t="str">
        <f>IF(_xlfn.XLOOKUP(A81,'Job Details'!A:A,'Job Details'!I:I,"Not in schedule")=0,"Pending",_xlfn.XLOOKUP(A81,'Job Details'!A:A,'Job Details'!I:I,"Not in schedule"))</f>
        <v>Pending</v>
      </c>
      <c r="C81" s="100" t="str">
        <f>IF(_xlfn.XLOOKUP(A81,'Job Details'!A:A,'Job Details'!AU:AU,"Job Details")=0,"Pending",_xlfn.XLOOKUP(A81,'Job Details'!A:A,'Job Details'!AU:AU,"Not In Job Details"))</f>
        <v>Pending</v>
      </c>
    </row>
    <row r="82" spans="1:3">
      <c r="A82" s="358" t="s">
        <v>83</v>
      </c>
      <c r="B82" s="100" t="str">
        <f>IF(_xlfn.XLOOKUP(A82,'Job Details'!A:A,'Job Details'!I:I,"Not in schedule")=0,"Pending",_xlfn.XLOOKUP(A82,'Job Details'!A:A,'Job Details'!I:I,"Not in schedule"))</f>
        <v>Pending</v>
      </c>
      <c r="C82" s="100" t="str">
        <f>IF(_xlfn.XLOOKUP(A82,'Job Details'!A:A,'Job Details'!AU:AU,"Job Details")=0,"Pending",_xlfn.XLOOKUP(A82,'Job Details'!A:A,'Job Details'!AU:AU,"Not In Job Details"))</f>
        <v>Pending</v>
      </c>
    </row>
    <row r="83" spans="1:3">
      <c r="A83" s="358" t="s">
        <v>84</v>
      </c>
      <c r="B83" s="100" t="str">
        <f>IF(_xlfn.XLOOKUP(A83,'Job Details'!A:A,'Job Details'!I:I,"Not in schedule")=0,"Pending",_xlfn.XLOOKUP(A83,'Job Details'!A:A,'Job Details'!I:I,"Not in schedule"))</f>
        <v>Pending</v>
      </c>
      <c r="C83" s="100" t="str">
        <f>IF(_xlfn.XLOOKUP(A83,'Job Details'!A:A,'Job Details'!AU:AU,"Job Details")=0,"Pending",_xlfn.XLOOKUP(A83,'Job Details'!A:A,'Job Details'!AU:AU,"Not In Job Details"))</f>
        <v>Pending</v>
      </c>
    </row>
    <row r="84" spans="1:3">
      <c r="A84" s="358" t="s">
        <v>85</v>
      </c>
      <c r="B84" s="100" t="str">
        <f>IF(_xlfn.XLOOKUP(A84,'Job Details'!A:A,'Job Details'!I:I,"Not in schedule")=0,"Pending",_xlfn.XLOOKUP(A84,'Job Details'!A:A,'Job Details'!I:I,"Not in schedule"))</f>
        <v>Pending</v>
      </c>
      <c r="C84" s="100" t="str">
        <f>IF(_xlfn.XLOOKUP(A84,'Job Details'!A:A,'Job Details'!AU:AU,"Job Details")=0,"Pending",_xlfn.XLOOKUP(A84,'Job Details'!A:A,'Job Details'!AU:AU,"Not In Job Details"))</f>
        <v>Pending</v>
      </c>
    </row>
    <row r="85" spans="1:3">
      <c r="A85" s="358" t="s">
        <v>86</v>
      </c>
      <c r="B85" s="100" t="str">
        <f>IF(_xlfn.XLOOKUP(A85,'Job Details'!A:A,'Job Details'!I:I,"Not in schedule")=0,"Pending",_xlfn.XLOOKUP(A85,'Job Details'!A:A,'Job Details'!I:I,"Not in schedule"))</f>
        <v>TR_RN_OnRequest_TR33112_Trigger_Box</v>
      </c>
      <c r="C85" s="100" t="str">
        <f>IF(_xlfn.XLOOKUP(A85,'Job Details'!A:A,'Job Details'!AU:AU,"Job Details")=0,"Pending",_xlfn.XLOOKUP(A85,'Job Details'!A:A,'Job Details'!AU:AU,"Not In Job Details"))</f>
        <v>Pending</v>
      </c>
    </row>
    <row r="86" spans="1:3">
      <c r="A86" s="358" t="s">
        <v>87</v>
      </c>
      <c r="B86" s="100" t="str">
        <f>IF(_xlfn.XLOOKUP(A86,'Job Details'!A:A,'Job Details'!I:I,"Not in schedule")=0,"Pending",_xlfn.XLOOKUP(A86,'Job Details'!A:A,'Job Details'!I:I,"Not in schedule"))</f>
        <v>TR_RN_Maintain_TR33102_Trigger_Box</v>
      </c>
      <c r="C86" s="100" t="str">
        <f>IF(_xlfn.XLOOKUP(A86,'Job Details'!A:A,'Job Details'!AU:AU,"Job Details")=0,"Pending",_xlfn.XLOOKUP(A86,'Job Details'!A:A,'Job Details'!AU:AU,"Not In Job Details"))</f>
        <v>Pending</v>
      </c>
    </row>
    <row r="87" spans="1:3">
      <c r="A87" s="358" t="s">
        <v>88</v>
      </c>
      <c r="B87" s="100" t="str">
        <f>IF(_xlfn.XLOOKUP(A87,'Job Details'!A:A,'Job Details'!I:I,"Not in schedule")=0,"Pending",_xlfn.XLOOKUP(A87,'Job Details'!A:A,'Job Details'!I:I,"Not in schedule"))</f>
        <v>Pending</v>
      </c>
      <c r="C87" s="100" t="str">
        <f>IF(_xlfn.XLOOKUP(A87,'Job Details'!A:A,'Job Details'!AU:AU,"Job Details")=0,"Pending",_xlfn.XLOOKUP(A87,'Job Details'!A:A,'Job Details'!AU:AU,"Not In Job Details"))</f>
        <v>Pending</v>
      </c>
    </row>
    <row r="88" spans="1:3">
      <c r="A88" s="358" t="s">
        <v>89</v>
      </c>
      <c r="B88" s="100" t="str">
        <f>IF(_xlfn.XLOOKUP(A88,'Job Details'!A:A,'Job Details'!I:I,"Not in schedule")=0,"Pending",_xlfn.XLOOKUP(A88,'Job Details'!A:A,'Job Details'!I:I,"Not in schedule"))</f>
        <v>Pending</v>
      </c>
      <c r="C88" s="100" t="str">
        <f>IF(_xlfn.XLOOKUP(A88,'Job Details'!A:A,'Job Details'!AU:AU,"Job Details")=0,"Pending",_xlfn.XLOOKUP(A88,'Job Details'!A:A,'Job Details'!AU:AU,"Not In Job Details"))</f>
        <v>Pending</v>
      </c>
    </row>
    <row r="89" spans="1:3">
      <c r="A89" s="358" t="s">
        <v>90</v>
      </c>
      <c r="B89" s="100" t="str">
        <f>IF(_xlfn.XLOOKUP(A89,'Job Details'!A:A,'Job Details'!I:I,"Not in schedule")=0,"Pending",_xlfn.XLOOKUP(A89,'Job Details'!A:A,'Job Details'!I:I,"Not in schedule"))</f>
        <v>Pending</v>
      </c>
      <c r="C89" s="100" t="str">
        <f>IF(_xlfn.XLOOKUP(A89,'Job Details'!A:A,'Job Details'!AU:AU,"Job Details")=0,"Pending",_xlfn.XLOOKUP(A89,'Job Details'!A:A,'Job Details'!AU:AU,"Not In Job Details"))</f>
        <v>Pending</v>
      </c>
    </row>
    <row r="90" spans="1:3">
      <c r="A90" s="358" t="s">
        <v>91</v>
      </c>
      <c r="B90" s="100" t="str">
        <f>IF(_xlfn.XLOOKUP(A90,'Job Details'!A:A,'Job Details'!I:I,"Not in schedule")=0,"Pending",_xlfn.XLOOKUP(A90,'Job Details'!A:A,'Job Details'!I:I,"Not in schedule"))</f>
        <v>Pending</v>
      </c>
      <c r="C90" s="100" t="str">
        <f>IF(_xlfn.XLOOKUP(A90,'Job Details'!A:A,'Job Details'!AU:AU,"Job Details")=0,"Pending",_xlfn.XLOOKUP(A90,'Job Details'!A:A,'Job Details'!AU:AU,"Not In Job Details"))</f>
        <v>Pending</v>
      </c>
    </row>
    <row r="91" spans="1:3">
      <c r="A91" s="358" t="s">
        <v>92</v>
      </c>
      <c r="B91" s="100" t="str">
        <f>IF(_xlfn.XLOOKUP(A91,'Job Details'!A:A,'Job Details'!I:I,"Not in schedule")=0,"Pending",_xlfn.XLOOKUP(A91,'Job Details'!A:A,'Job Details'!I:I,"Not in schedule"))</f>
        <v>Pending</v>
      </c>
      <c r="C91" s="100" t="str">
        <f>IF(_xlfn.XLOOKUP(A91,'Job Details'!A:A,'Job Details'!AU:AU,"Job Details")=0,"Pending",_xlfn.XLOOKUP(A91,'Job Details'!A:A,'Job Details'!AU:AU,"Not In Job Details"))</f>
        <v>Pending</v>
      </c>
    </row>
    <row r="92" spans="1:3">
      <c r="A92" s="358" t="s">
        <v>93</v>
      </c>
      <c r="B92" s="100" t="str">
        <f>IF(_xlfn.XLOOKUP(A92,'Job Details'!A:A,'Job Details'!I:I,"Not in schedule")=0,"Pending",_xlfn.XLOOKUP(A92,'Job Details'!A:A,'Job Details'!I:I,"Not in schedule"))</f>
        <v>Pending</v>
      </c>
      <c r="C92" s="100" t="str">
        <f>IF(_xlfn.XLOOKUP(A92,'Job Details'!A:A,'Job Details'!AU:AU,"Job Details")=0,"Pending",_xlfn.XLOOKUP(A92,'Job Details'!A:A,'Job Details'!AU:AU,"Not In Job Details"))</f>
        <v>Pending</v>
      </c>
    </row>
    <row r="93" spans="1:3">
      <c r="A93" s="358" t="s">
        <v>94</v>
      </c>
      <c r="B93" s="100" t="str">
        <f>IF(_xlfn.XLOOKUP(A93,'Job Details'!A:A,'Job Details'!I:I,"Not in schedule")=0,"Pending",_xlfn.XLOOKUP(A93,'Job Details'!A:A,'Job Details'!I:I,"Not in schedule"))</f>
        <v>Pending</v>
      </c>
      <c r="C93" s="100" t="str">
        <f>IF(_xlfn.XLOOKUP(A93,'Job Details'!A:A,'Job Details'!AU:AU,"Job Details")=0,"Pending",_xlfn.XLOOKUP(A93,'Job Details'!A:A,'Job Details'!AU:AU,"Not In Job Details"))</f>
        <v>Pending</v>
      </c>
    </row>
    <row r="94" spans="1:3">
      <c r="A94" s="358" t="s">
        <v>95</v>
      </c>
      <c r="B94" s="100" t="str">
        <f>IF(_xlfn.XLOOKUP(A94,'Job Details'!A:A,'Job Details'!I:I,"Not in schedule")=0,"Pending",_xlfn.XLOOKUP(A94,'Job Details'!A:A,'Job Details'!I:I,"Not in schedule"))</f>
        <v>Pending</v>
      </c>
      <c r="C94" s="100" t="str">
        <f>IF(_xlfn.XLOOKUP(A94,'Job Details'!A:A,'Job Details'!AU:AU,"Job Details")=0,"Pending",_xlfn.XLOOKUP(A94,'Job Details'!A:A,'Job Details'!AU:AU,"Not In Job Details"))</f>
        <v>Pending</v>
      </c>
    </row>
    <row r="95" spans="1:3">
      <c r="A95" s="358" t="s">
        <v>96</v>
      </c>
      <c r="B95" s="100" t="str">
        <f>IF(_xlfn.XLOOKUP(A95,'Job Details'!A:A,'Job Details'!I:I,"Not in schedule")=0,"Pending",_xlfn.XLOOKUP(A95,'Job Details'!A:A,'Job Details'!I:I,"Not in schedule"))</f>
        <v>Pending</v>
      </c>
      <c r="C95" s="100" t="str">
        <f>IF(_xlfn.XLOOKUP(A95,'Job Details'!A:A,'Job Details'!AU:AU,"Job Details")=0,"Pending",_xlfn.XLOOKUP(A95,'Job Details'!A:A,'Job Details'!AU:AU,"Not In Job Details"))</f>
        <v>Pending</v>
      </c>
    </row>
    <row r="96" spans="1:3">
      <c r="A96" s="358" t="s">
        <v>97</v>
      </c>
      <c r="B96" s="100" t="str">
        <f>IF(_xlfn.XLOOKUP(A96,'Job Details'!A:A,'Job Details'!I:I,"Not in schedule")=0,"Pending",_xlfn.XLOOKUP(A96,'Job Details'!A:A,'Job Details'!I:I,"Not in schedule"))</f>
        <v>Pending</v>
      </c>
      <c r="C96" s="100" t="str">
        <f>IF(_xlfn.XLOOKUP(A96,'Job Details'!A:A,'Job Details'!AU:AU,"Job Details")=0,"Pending",_xlfn.XLOOKUP(A96,'Job Details'!A:A,'Job Details'!AU:AU,"Not In Job Details"))</f>
        <v>Pending</v>
      </c>
    </row>
    <row r="97" spans="1:3">
      <c r="A97" s="358" t="s">
        <v>98</v>
      </c>
      <c r="B97" s="100" t="str">
        <f>IF(_xlfn.XLOOKUP(A97,'Job Details'!A:A,'Job Details'!I:I,"Not in schedule")=0,"Pending",_xlfn.XLOOKUP(A97,'Job Details'!A:A,'Job Details'!I:I,"Not in schedule"))</f>
        <v>Pending</v>
      </c>
      <c r="C97" s="100" t="str">
        <f>IF(_xlfn.XLOOKUP(A97,'Job Details'!A:A,'Job Details'!AU:AU,"Job Details")=0,"Pending",_xlfn.XLOOKUP(A97,'Job Details'!A:A,'Job Details'!AU:AU,"Not In Job Details"))</f>
        <v>Pending</v>
      </c>
    </row>
    <row r="98" spans="1:3">
      <c r="A98" s="358" t="s">
        <v>99</v>
      </c>
      <c r="B98" s="100" t="str">
        <f>IF(_xlfn.XLOOKUP(A98,'Job Details'!A:A,'Job Details'!I:I,"Not in schedule")=0,"Pending",_xlfn.XLOOKUP(A98,'Job Details'!A:A,'Job Details'!I:I,"Not in schedule"))</f>
        <v>Pending</v>
      </c>
      <c r="C98" s="100" t="str">
        <f>IF(_xlfn.XLOOKUP(A98,'Job Details'!A:A,'Job Details'!AU:AU,"Job Details")=0,"Pending",_xlfn.XLOOKUP(A98,'Job Details'!A:A,'Job Details'!AU:AU,"Not In Job Details"))</f>
        <v>Pending</v>
      </c>
    </row>
    <row r="99" spans="1:3">
      <c r="A99" s="358" t="s">
        <v>100</v>
      </c>
      <c r="B99" s="100" t="str">
        <f>IF(_xlfn.XLOOKUP(A99,'Job Details'!A:A,'Job Details'!I:I,"Not in schedule")=0,"Pending",_xlfn.XLOOKUP(A99,'Job Details'!A:A,'Job Details'!I:I,"Not in schedule"))</f>
        <v>Pending</v>
      </c>
      <c r="C99" s="100" t="str">
        <f>IF(_xlfn.XLOOKUP(A99,'Job Details'!A:A,'Job Details'!AU:AU,"Job Details")=0,"Pending",_xlfn.XLOOKUP(A99,'Job Details'!A:A,'Job Details'!AU:AU,"Not In Job Details"))</f>
        <v>Pending</v>
      </c>
    </row>
    <row r="100" spans="1:3">
      <c r="A100" s="358" t="s">
        <v>101</v>
      </c>
      <c r="B100" s="100" t="str">
        <f>IF(_xlfn.XLOOKUP(A100,'Job Details'!A:A,'Job Details'!I:I,"Not in schedule")=0,"Pending",_xlfn.XLOOKUP(A100,'Job Details'!A:A,'Job Details'!I:I,"Not in schedule"))</f>
        <v>Pending</v>
      </c>
      <c r="C100" s="100" t="str">
        <f>IF(_xlfn.XLOOKUP(A100,'Job Details'!A:A,'Job Details'!AU:AU,"Job Details")=0,"Pending",_xlfn.XLOOKUP(A100,'Job Details'!A:A,'Job Details'!AU:AU,"Not In Job Details"))</f>
        <v>Pending</v>
      </c>
    </row>
    <row r="101" spans="1:3">
      <c r="A101" s="358" t="s">
        <v>102</v>
      </c>
      <c r="B101" s="100" t="str">
        <f>IF(_xlfn.XLOOKUP(A101,'Job Details'!A:A,'Job Details'!I:I,"Not in schedule")=0,"Pending",_xlfn.XLOOKUP(A101,'Job Details'!A:A,'Job Details'!I:I,"Not in schedule"))</f>
        <v>Pending</v>
      </c>
      <c r="C101" s="100" t="str">
        <f>IF(_xlfn.XLOOKUP(A101,'Job Details'!A:A,'Job Details'!AU:AU,"Job Details")=0,"Pending",_xlfn.XLOOKUP(A101,'Job Details'!A:A,'Job Details'!AU:AU,"Not In Job Details"))</f>
        <v>Pending</v>
      </c>
    </row>
    <row r="102" spans="1:3">
      <c r="A102" s="358" t="s">
        <v>103</v>
      </c>
      <c r="B102" s="100" t="str">
        <f>IF(_xlfn.XLOOKUP(A102,'Job Details'!A:A,'Job Details'!I:I,"Not in schedule")=0,"Pending",_xlfn.XLOOKUP(A102,'Job Details'!A:A,'Job Details'!I:I,"Not in schedule"))</f>
        <v>Pending</v>
      </c>
      <c r="C102" s="100" t="str">
        <f>IF(_xlfn.XLOOKUP(A102,'Job Details'!A:A,'Job Details'!AU:AU,"Job Details")=0,"Pending",_xlfn.XLOOKUP(A102,'Job Details'!A:A,'Job Details'!AU:AU,"Not In Job Details"))</f>
        <v>Pending</v>
      </c>
    </row>
    <row r="103" spans="1:3">
      <c r="A103" s="358" t="s">
        <v>104</v>
      </c>
      <c r="B103" s="100" t="str">
        <f>IF(_xlfn.XLOOKUP(A103,'Job Details'!A:A,'Job Details'!I:I,"Not in schedule")=0,"Pending",_xlfn.XLOOKUP(A103,'Job Details'!A:A,'Job Details'!I:I,"Not in schedule"))</f>
        <v>Pending</v>
      </c>
      <c r="C103" s="100" t="str">
        <f>IF(_xlfn.XLOOKUP(A103,'Job Details'!A:A,'Job Details'!AU:AU,"Job Details")=0,"Pending",_xlfn.XLOOKUP(A103,'Job Details'!A:A,'Job Details'!AU:AU,"Not In Job Details"))</f>
        <v>Pending</v>
      </c>
    </row>
    <row r="104" spans="1:3">
      <c r="A104" s="358" t="s">
        <v>105</v>
      </c>
      <c r="B104" s="100" t="str">
        <f>IF(_xlfn.XLOOKUP(A104,'Job Details'!A:A,'Job Details'!I:I,"Not in schedule")=0,"Pending",_xlfn.XLOOKUP(A104,'Job Details'!A:A,'Job Details'!I:I,"Not in schedule"))</f>
        <v>Pending</v>
      </c>
      <c r="C104" s="100" t="str">
        <f>IF(_xlfn.XLOOKUP(A104,'Job Details'!A:A,'Job Details'!AU:AU,"Job Details")=0,"Pending",_xlfn.XLOOKUP(A104,'Job Details'!A:A,'Job Details'!AU:AU,"Not In Job Details"))</f>
        <v>Pending</v>
      </c>
    </row>
    <row r="105" spans="1:3">
      <c r="A105" s="358" t="s">
        <v>106</v>
      </c>
      <c r="B105" s="100" t="str">
        <f>IF(_xlfn.XLOOKUP(A105,'Job Details'!A:A,'Job Details'!I:I,"Not in schedule")=0,"Pending",_xlfn.XLOOKUP(A105,'Job Details'!A:A,'Job Details'!I:I,"Not in schedule"))</f>
        <v>Pending</v>
      </c>
      <c r="C105" s="100" t="str">
        <f>IF(_xlfn.XLOOKUP(A105,'Job Details'!A:A,'Job Details'!AU:AU,"Job Details")=0,"Pending",_xlfn.XLOOKUP(A105,'Job Details'!A:A,'Job Details'!AU:AU,"Not In Job Details"))</f>
        <v>Pending</v>
      </c>
    </row>
    <row r="106" spans="1:3">
      <c r="A106" s="358" t="s">
        <v>107</v>
      </c>
      <c r="B106" s="100" t="str">
        <f>IF(_xlfn.XLOOKUP(A106,'Job Details'!A:A,'Job Details'!I:I,"Not in schedule")=0,"Pending",_xlfn.XLOOKUP(A106,'Job Details'!A:A,'Job Details'!I:I,"Not in schedule"))</f>
        <v>Pending</v>
      </c>
      <c r="C106" s="100" t="str">
        <f>IF(_xlfn.XLOOKUP(A106,'Job Details'!A:A,'Job Details'!AU:AU,"Job Details")=0,"Pending",_xlfn.XLOOKUP(A106,'Job Details'!A:A,'Job Details'!AU:AU,"Not In Job Details"))</f>
        <v>Pending</v>
      </c>
    </row>
    <row r="107" spans="1:3">
      <c r="A107" s="358" t="s">
        <v>108</v>
      </c>
      <c r="B107" s="100" t="str">
        <f>IF(_xlfn.XLOOKUP(A107,'Job Details'!A:A,'Job Details'!I:I,"Not in schedule")=0,"Pending",_xlfn.XLOOKUP(A107,'Job Details'!A:A,'Job Details'!I:I,"Not in schedule"))</f>
        <v>Pending</v>
      </c>
      <c r="C107" s="100" t="str">
        <f>IF(_xlfn.XLOOKUP(A107,'Job Details'!A:A,'Job Details'!AU:AU,"Job Details")=0,"Pending",_xlfn.XLOOKUP(A107,'Job Details'!A:A,'Job Details'!AU:AU,"Not In Job Details"))</f>
        <v>Pending</v>
      </c>
    </row>
    <row r="108" spans="1:3">
      <c r="A108" s="358" t="s">
        <v>109</v>
      </c>
      <c r="B108" s="100" t="str">
        <f>IF(_xlfn.XLOOKUP(A108,'Job Details'!A:A,'Job Details'!I:I,"Not in schedule")=0,"Pending",_xlfn.XLOOKUP(A108,'Job Details'!A:A,'Job Details'!I:I,"Not in schedule"))</f>
        <v>Pending</v>
      </c>
      <c r="C108" s="100" t="str">
        <f>IF(_xlfn.XLOOKUP(A108,'Job Details'!A:A,'Job Details'!AU:AU,"Job Details")=0,"Pending",_xlfn.XLOOKUP(A108,'Job Details'!A:A,'Job Details'!AU:AU,"Not In Job Details"))</f>
        <v>Pending</v>
      </c>
    </row>
    <row r="109" spans="1:3">
      <c r="A109" s="358" t="s">
        <v>110</v>
      </c>
      <c r="B109" s="100" t="str">
        <f>IF(_xlfn.XLOOKUP(A109,'Job Details'!A:A,'Job Details'!I:I,"Not in schedule")=0,"Pending",_xlfn.XLOOKUP(A109,'Job Details'!A:A,'Job Details'!I:I,"Not in schedule"))</f>
        <v>Pending</v>
      </c>
      <c r="C109" s="100" t="str">
        <f>IF(_xlfn.XLOOKUP(A109,'Job Details'!A:A,'Job Details'!AU:AU,"Job Details")=0,"Pending",_xlfn.XLOOKUP(A109,'Job Details'!A:A,'Job Details'!AU:AU,"Not In Job Details"))</f>
        <v>Pending</v>
      </c>
    </row>
    <row r="110" spans="1:3">
      <c r="A110" s="358" t="s">
        <v>111</v>
      </c>
      <c r="B110" s="100" t="str">
        <f>IF(_xlfn.XLOOKUP(A110,'Job Details'!A:A,'Job Details'!I:I,"Not in schedule")=0,"Pending",_xlfn.XLOOKUP(A110,'Job Details'!A:A,'Job Details'!I:I,"Not in schedule"))</f>
        <v>Pending</v>
      </c>
      <c r="C110" s="100" t="str">
        <f>IF(_xlfn.XLOOKUP(A110,'Job Details'!A:A,'Job Details'!AU:AU,"Job Details")=0,"Pending",_xlfn.XLOOKUP(A110,'Job Details'!A:A,'Job Details'!AU:AU,"Not In Job Details"))</f>
        <v>Pending</v>
      </c>
    </row>
    <row r="111" spans="1:3">
      <c r="A111" s="358" t="s">
        <v>112</v>
      </c>
      <c r="B111" s="100" t="str">
        <f>IF(_xlfn.XLOOKUP(A111,'Job Details'!A:A,'Job Details'!I:I,"Not in schedule")=0,"Pending",_xlfn.XLOOKUP(A111,'Job Details'!A:A,'Job Details'!I:I,"Not in schedule"))</f>
        <v>Pending</v>
      </c>
      <c r="C111" s="100" t="str">
        <f>IF(_xlfn.XLOOKUP(A111,'Job Details'!A:A,'Job Details'!AU:AU,"Job Details")=0,"Pending",_xlfn.XLOOKUP(A111,'Job Details'!A:A,'Job Details'!AU:AU,"Not In Job Details"))</f>
        <v>Pending</v>
      </c>
    </row>
    <row r="112" spans="1:3">
      <c r="A112" s="358" t="s">
        <v>113</v>
      </c>
      <c r="B112" s="100" t="str">
        <f>IF(_xlfn.XLOOKUP(A112,'Job Details'!A:A,'Job Details'!I:I,"Not in schedule")=0,"Pending",_xlfn.XLOOKUP(A112,'Job Details'!A:A,'Job Details'!I:I,"Not in schedule"))</f>
        <v>Pending</v>
      </c>
      <c r="C112" s="100" t="str">
        <f>IF(_xlfn.XLOOKUP(A112,'Job Details'!A:A,'Job Details'!AU:AU,"Job Details")=0,"Pending",_xlfn.XLOOKUP(A112,'Job Details'!A:A,'Job Details'!AU:AU,"Not In Job Details"))</f>
        <v>Pending</v>
      </c>
    </row>
    <row r="113" spans="1:3">
      <c r="A113" s="358" t="s">
        <v>114</v>
      </c>
      <c r="B113" s="100" t="str">
        <f>IF(_xlfn.XLOOKUP(A113,'Job Details'!A:A,'Job Details'!I:I,"Not in schedule")=0,"Pending",_xlfn.XLOOKUP(A113,'Job Details'!A:A,'Job Details'!I:I,"Not in schedule"))</f>
        <v>Pending</v>
      </c>
      <c r="C113" s="100" t="str">
        <f>IF(_xlfn.XLOOKUP(A113,'Job Details'!A:A,'Job Details'!AU:AU,"Job Details")=0,"Pending",_xlfn.XLOOKUP(A113,'Job Details'!A:A,'Job Details'!AU:AU,"Not In Job Details"))</f>
        <v>Pending</v>
      </c>
    </row>
    <row r="114" spans="1:3">
      <c r="A114" s="358" t="s">
        <v>115</v>
      </c>
      <c r="B114" s="100" t="str">
        <f>IF(_xlfn.XLOOKUP(A114,'Job Details'!A:A,'Job Details'!I:I,"Not in schedule")=0,"Pending",_xlfn.XLOOKUP(A114,'Job Details'!A:A,'Job Details'!I:I,"Not in schedule"))</f>
        <v>Pending</v>
      </c>
      <c r="C114" s="100" t="str">
        <f>IF(_xlfn.XLOOKUP(A114,'Job Details'!A:A,'Job Details'!AU:AU,"Job Details")=0,"Pending",_xlfn.XLOOKUP(A114,'Job Details'!A:A,'Job Details'!AU:AU,"Not In Job Details"))</f>
        <v>Pending</v>
      </c>
    </row>
    <row r="115" spans="1:3">
      <c r="A115" s="358" t="s">
        <v>116</v>
      </c>
      <c r="B115" s="100" t="str">
        <f>IF(_xlfn.XLOOKUP(A115,'Job Details'!A:A,'Job Details'!I:I,"Not in schedule")=0,"Pending",_xlfn.XLOOKUP(A115,'Job Details'!A:A,'Job Details'!I:I,"Not in schedule"))</f>
        <v>TR_RN_Maintain_TR33106N_Trigger_Box</v>
      </c>
      <c r="C115" s="100" t="str">
        <f>IF(_xlfn.XLOOKUP(A115,'Job Details'!A:A,'Job Details'!AU:AU,"Job Details")=0,"Pending",_xlfn.XLOOKUP(A115,'Job Details'!A:A,'Job Details'!AU:AU,"Not In Job Details"))</f>
        <v>Pending</v>
      </c>
    </row>
    <row r="116" spans="1:3">
      <c r="A116" s="358" t="s">
        <v>117</v>
      </c>
      <c r="B116" s="100" t="str">
        <f>IF(_xlfn.XLOOKUP(A116,'Job Details'!A:A,'Job Details'!I:I,"Not in schedule")=0,"Pending",_xlfn.XLOOKUP(A116,'Job Details'!A:A,'Job Details'!I:I,"Not in schedule"))</f>
        <v>TR_RN_Maintain_TR33107_Trigger_Box</v>
      </c>
      <c r="C116" s="100" t="str">
        <f>IF(_xlfn.XLOOKUP(A116,'Job Details'!A:A,'Job Details'!AU:AU,"Job Details")=0,"Pending",_xlfn.XLOOKUP(A116,'Job Details'!A:A,'Job Details'!AU:AU,"Not In Job Details"))</f>
        <v>Pending</v>
      </c>
    </row>
    <row r="117" spans="1:3">
      <c r="A117" s="358" t="s">
        <v>118</v>
      </c>
      <c r="B117" s="100" t="str">
        <f>IF(_xlfn.XLOOKUP(A117,'Job Details'!A:A,'Job Details'!I:I,"Not in schedule")=0,"Pending",_xlfn.XLOOKUP(A117,'Job Details'!A:A,'Job Details'!I:I,"Not in schedule"))</f>
        <v>TR_RN_Maintain_TR33102_Trigger_Box</v>
      </c>
      <c r="C117" s="100" t="str">
        <f>IF(_xlfn.XLOOKUP(A117,'Job Details'!A:A,'Job Details'!AU:AU,"Job Details")=0,"Pending",_xlfn.XLOOKUP(A117,'Job Details'!A:A,'Job Details'!AU:AU,"Not In Job Details"))</f>
        <v>Pending</v>
      </c>
    </row>
    <row r="118" spans="1:3">
      <c r="A118" s="358" t="s">
        <v>119</v>
      </c>
      <c r="B118" s="100" t="str">
        <f>IF(_xlfn.XLOOKUP(A118,'Job Details'!A:A,'Job Details'!I:I,"Not in schedule")=0,"Pending",_xlfn.XLOOKUP(A118,'Job Details'!A:A,'Job Details'!I:I,"Not in schedule"))</f>
        <v>Pending</v>
      </c>
      <c r="C118" s="100" t="str">
        <f>IF(_xlfn.XLOOKUP(A118,'Job Details'!A:A,'Job Details'!AU:AU,"Job Details")=0,"Pending",_xlfn.XLOOKUP(A118,'Job Details'!A:A,'Job Details'!AU:AU,"Not In Job Details"))</f>
        <v>Pending</v>
      </c>
    </row>
    <row r="119" spans="1:3">
      <c r="A119" s="358" t="s">
        <v>120</v>
      </c>
      <c r="B119" s="100" t="str">
        <f>IF(_xlfn.XLOOKUP(A119,'Job Details'!A:A,'Job Details'!I:I,"Not in schedule")=0,"Pending",_xlfn.XLOOKUP(A119,'Job Details'!A:A,'Job Details'!I:I,"Not in schedule"))</f>
        <v>Pending</v>
      </c>
      <c r="C119" s="100" t="str">
        <f>IF(_xlfn.XLOOKUP(A119,'Job Details'!A:A,'Job Details'!AU:AU,"Job Details")=0,"Pending",_xlfn.XLOOKUP(A119,'Job Details'!A:A,'Job Details'!AU:AU,"Not In Job Details"))</f>
        <v>Pending</v>
      </c>
    </row>
    <row r="120" spans="1:3">
      <c r="A120" s="358" t="s">
        <v>121</v>
      </c>
      <c r="B120" s="100" t="str">
        <f>IF(_xlfn.XLOOKUP(A120,'Job Details'!A:A,'Job Details'!I:I,"Not in schedule")=0,"Pending",_xlfn.XLOOKUP(A120,'Job Details'!A:A,'Job Details'!I:I,"Not in schedule"))</f>
        <v>Pending</v>
      </c>
      <c r="C120" s="100" t="str">
        <f>IF(_xlfn.XLOOKUP(A120,'Job Details'!A:A,'Job Details'!AU:AU,"Job Details")=0,"Pending",_xlfn.XLOOKUP(A120,'Job Details'!A:A,'Job Details'!AU:AU,"Not In Job Details"))</f>
        <v>Pending</v>
      </c>
    </row>
    <row r="121" spans="1:3">
      <c r="A121" s="358" t="s">
        <v>122</v>
      </c>
      <c r="B121" s="100" t="str">
        <f>IF(_xlfn.XLOOKUP(A121,'Job Details'!A:A,'Job Details'!I:I,"Not in schedule")=0,"Pending",_xlfn.XLOOKUP(A121,'Job Details'!A:A,'Job Details'!I:I,"Not in schedule"))</f>
        <v>Pending</v>
      </c>
      <c r="C121" s="100" t="str">
        <f>IF(_xlfn.XLOOKUP(A121,'Job Details'!A:A,'Job Details'!AU:AU,"Job Details")=0,"Pending",_xlfn.XLOOKUP(A121,'Job Details'!A:A,'Job Details'!AU:AU,"Not In Job Details"))</f>
        <v>Pending</v>
      </c>
    </row>
    <row r="122" spans="1:3">
      <c r="A122" s="358" t="s">
        <v>123</v>
      </c>
      <c r="B122" s="100" t="str">
        <f>IF(_xlfn.XLOOKUP(A122,'Job Details'!A:A,'Job Details'!I:I,"Not in schedule")=0,"Pending",_xlfn.XLOOKUP(A122,'Job Details'!A:A,'Job Details'!I:I,"Not in schedule"))</f>
        <v>Pending</v>
      </c>
      <c r="C122" s="100" t="str">
        <f>IF(_xlfn.XLOOKUP(A122,'Job Details'!A:A,'Job Details'!AU:AU,"Job Details")=0,"Pending",_xlfn.XLOOKUP(A122,'Job Details'!A:A,'Job Details'!AU:AU,"Not In Job Details"))</f>
        <v>Pending</v>
      </c>
    </row>
    <row r="123" spans="1:3">
      <c r="A123" s="358" t="s">
        <v>124</v>
      </c>
      <c r="B123" s="100" t="str">
        <f>IF(_xlfn.XLOOKUP(A123,'Job Details'!A:A,'Job Details'!I:I,"Not in schedule")=0,"Pending",_xlfn.XLOOKUP(A123,'Job Details'!A:A,'Job Details'!I:I,"Not in schedule"))</f>
        <v>Pending</v>
      </c>
      <c r="C123" s="100" t="str">
        <f>IF(_xlfn.XLOOKUP(A123,'Job Details'!A:A,'Job Details'!AU:AU,"Job Details")=0,"Pending",_xlfn.XLOOKUP(A123,'Job Details'!A:A,'Job Details'!AU:AU,"Not In Job Details"))</f>
        <v>Pending</v>
      </c>
    </row>
    <row r="124" spans="1:3">
      <c r="A124" s="358" t="s">
        <v>125</v>
      </c>
      <c r="B124" s="100" t="str">
        <f>IF(_xlfn.XLOOKUP(A124,'Job Details'!A:A,'Job Details'!I:I,"Not in schedule")=0,"Pending",_xlfn.XLOOKUP(A124,'Job Details'!A:A,'Job Details'!I:I,"Not in schedule"))</f>
        <v>Pending</v>
      </c>
      <c r="C124" s="100" t="str">
        <f>IF(_xlfn.XLOOKUP(A124,'Job Details'!A:A,'Job Details'!AU:AU,"Job Details")=0,"Pending",_xlfn.XLOOKUP(A124,'Job Details'!A:A,'Job Details'!AU:AU,"Not In Job Details"))</f>
        <v>Pending</v>
      </c>
    </row>
    <row r="125" spans="1:3">
      <c r="A125" s="358" t="s">
        <v>126</v>
      </c>
      <c r="B125" s="100" t="str">
        <f>IF(_xlfn.XLOOKUP(A125,'Job Details'!A:A,'Job Details'!I:I,"Not in schedule")=0,"Pending",_xlfn.XLOOKUP(A125,'Job Details'!A:A,'Job Details'!I:I,"Not in schedule"))</f>
        <v>Pending</v>
      </c>
      <c r="C125" s="100" t="str">
        <f>IF(_xlfn.XLOOKUP(A125,'Job Details'!A:A,'Job Details'!AU:AU,"Job Details")=0,"Pending",_xlfn.XLOOKUP(A125,'Job Details'!A:A,'Job Details'!AU:AU,"Not In Job Details"))</f>
        <v>Pending</v>
      </c>
    </row>
    <row r="126" spans="1:3">
      <c r="A126" s="358" t="s">
        <v>127</v>
      </c>
      <c r="B126" s="100" t="str">
        <f>IF(_xlfn.XLOOKUP(A126,'Job Details'!A:A,'Job Details'!I:I,"Not in schedule")=0,"Pending",_xlfn.XLOOKUP(A126,'Job Details'!A:A,'Job Details'!I:I,"Not in schedule"))</f>
        <v>Pending</v>
      </c>
      <c r="C126" s="100" t="str">
        <f>IF(_xlfn.XLOOKUP(A126,'Job Details'!A:A,'Job Details'!AU:AU,"Job Details")=0,"Pending",_xlfn.XLOOKUP(A126,'Job Details'!A:A,'Job Details'!AU:AU,"Not In Job Details"))</f>
        <v>Pending</v>
      </c>
    </row>
    <row r="127" spans="1:3">
      <c r="A127" s="358" t="s">
        <v>128</v>
      </c>
      <c r="B127" s="100" t="str">
        <f>IF(_xlfn.XLOOKUP(A127,'Job Details'!A:A,'Job Details'!I:I,"Not in schedule")=0,"Pending",_xlfn.XLOOKUP(A127,'Job Details'!A:A,'Job Details'!I:I,"Not in schedule"))</f>
        <v>Pending</v>
      </c>
      <c r="C127" s="100" t="str">
        <f>IF(_xlfn.XLOOKUP(A127,'Job Details'!A:A,'Job Details'!AU:AU,"Job Details")=0,"Pending",_xlfn.XLOOKUP(A127,'Job Details'!A:A,'Job Details'!AU:AU,"Not In Job Details"))</f>
        <v>Pending</v>
      </c>
    </row>
    <row r="128" spans="1:3">
      <c r="A128" s="358" t="s">
        <v>129</v>
      </c>
      <c r="B128" s="100" t="str">
        <f>IF(_xlfn.XLOOKUP(A128,'Job Details'!A:A,'Job Details'!I:I,"Not in schedule")=0,"Pending",_xlfn.XLOOKUP(A128,'Job Details'!A:A,'Job Details'!I:I,"Not in schedule"))</f>
        <v>Pending</v>
      </c>
      <c r="C128" s="100" t="str">
        <f>IF(_xlfn.XLOOKUP(A128,'Job Details'!A:A,'Job Details'!AU:AU,"Job Details")=0,"Pending",_xlfn.XLOOKUP(A128,'Job Details'!A:A,'Job Details'!AU:AU,"Not In Job Details"))</f>
        <v>Pending</v>
      </c>
    </row>
    <row r="129" spans="1:3">
      <c r="A129" s="358" t="s">
        <v>130</v>
      </c>
      <c r="B129" s="100" t="str">
        <f>IF(_xlfn.XLOOKUP(A129,'Job Details'!A:A,'Job Details'!I:I,"Not in schedule")=0,"Pending",_xlfn.XLOOKUP(A129,'Job Details'!A:A,'Job Details'!I:I,"Not in schedule"))</f>
        <v>Pending</v>
      </c>
      <c r="C129" s="100" t="str">
        <f>IF(_xlfn.XLOOKUP(A129,'Job Details'!A:A,'Job Details'!AU:AU,"Job Details")=0,"Pending",_xlfn.XLOOKUP(A129,'Job Details'!A:A,'Job Details'!AU:AU,"Not In Job Details"))</f>
        <v>Pending</v>
      </c>
    </row>
    <row r="130" spans="1:3">
      <c r="A130" s="358" t="s">
        <v>131</v>
      </c>
      <c r="B130" s="100" t="str">
        <f>IF(_xlfn.XLOOKUP(A130,'Job Details'!A:A,'Job Details'!I:I,"Not in schedule")=0,"Pending",_xlfn.XLOOKUP(A130,'Job Details'!A:A,'Job Details'!I:I,"Not in schedule"))</f>
        <v>Pending</v>
      </c>
      <c r="C130" s="100" t="str">
        <f>IF(_xlfn.XLOOKUP(A130,'Job Details'!A:A,'Job Details'!AU:AU,"Job Details")=0,"Pending",_xlfn.XLOOKUP(A130,'Job Details'!A:A,'Job Details'!AU:AU,"Not In Job Details"))</f>
        <v>Pending</v>
      </c>
    </row>
    <row r="131" spans="1:3">
      <c r="A131" s="358" t="s">
        <v>132</v>
      </c>
      <c r="B131" s="100" t="str">
        <f>IF(_xlfn.XLOOKUP(A131,'Job Details'!A:A,'Job Details'!I:I,"Not in schedule")=0,"Pending",_xlfn.XLOOKUP(A131,'Job Details'!A:A,'Job Details'!I:I,"Not in schedule"))</f>
        <v>Pending</v>
      </c>
      <c r="C131" s="100" t="str">
        <f>IF(_xlfn.XLOOKUP(A131,'Job Details'!A:A,'Job Details'!AU:AU,"Job Details")=0,"Pending",_xlfn.XLOOKUP(A131,'Job Details'!A:A,'Job Details'!AU:AU,"Not In Job Details"))</f>
        <v>Pending</v>
      </c>
    </row>
    <row r="132" spans="1:3">
      <c r="A132" s="358" t="s">
        <v>133</v>
      </c>
      <c r="B132" s="100" t="str">
        <f>IF(_xlfn.XLOOKUP(A132,'Job Details'!A:A,'Job Details'!I:I,"Not in schedule")=0,"Pending",_xlfn.XLOOKUP(A132,'Job Details'!A:A,'Job Details'!I:I,"Not in schedule"))</f>
        <v>Pending</v>
      </c>
      <c r="C132" s="100" t="str">
        <f>IF(_xlfn.XLOOKUP(A132,'Job Details'!A:A,'Job Details'!AU:AU,"Job Details")=0,"Pending",_xlfn.XLOOKUP(A132,'Job Details'!A:A,'Job Details'!AU:AU,"Not In Job Details"))</f>
        <v>Pending</v>
      </c>
    </row>
    <row r="133" spans="1:3">
      <c r="A133" s="358" t="s">
        <v>134</v>
      </c>
      <c r="B133" s="100" t="str">
        <f>IF(_xlfn.XLOOKUP(A133,'Job Details'!A:A,'Job Details'!I:I,"Not in schedule")=0,"Pending",_xlfn.XLOOKUP(A133,'Job Details'!A:A,'Job Details'!I:I,"Not in schedule"))</f>
        <v>Pending</v>
      </c>
      <c r="C133" s="100" t="str">
        <f>IF(_xlfn.XLOOKUP(A133,'Job Details'!A:A,'Job Details'!AU:AU,"Job Details")=0,"Pending",_xlfn.XLOOKUP(A133,'Job Details'!A:A,'Job Details'!AU:AU,"Not In Job Details"))</f>
        <v>Pending</v>
      </c>
    </row>
    <row r="134" spans="1:3">
      <c r="A134" s="358" t="s">
        <v>135</v>
      </c>
      <c r="B134" s="100" t="str">
        <f>IF(_xlfn.XLOOKUP(A134,'Job Details'!A:A,'Job Details'!I:I,"Not in schedule")=0,"Pending",_xlfn.XLOOKUP(A134,'Job Details'!A:A,'Job Details'!I:I,"Not in schedule"))</f>
        <v>Pending</v>
      </c>
      <c r="C134" s="100" t="str">
        <f>IF(_xlfn.XLOOKUP(A134,'Job Details'!A:A,'Job Details'!AU:AU,"Job Details")=0,"Pending",_xlfn.XLOOKUP(A134,'Job Details'!A:A,'Job Details'!AU:AU,"Not In Job Details"))</f>
        <v>Pending</v>
      </c>
    </row>
    <row r="135" spans="1:3">
      <c r="A135" s="358" t="s">
        <v>136</v>
      </c>
      <c r="B135" s="100" t="str">
        <f>IF(_xlfn.XLOOKUP(A135,'Job Details'!A:A,'Job Details'!I:I,"Not in schedule")=0,"Pending",_xlfn.XLOOKUP(A135,'Job Details'!A:A,'Job Details'!I:I,"Not in schedule"))</f>
        <v>Pending</v>
      </c>
      <c r="C135" s="100" t="str">
        <f>IF(_xlfn.XLOOKUP(A135,'Job Details'!A:A,'Job Details'!AU:AU,"Job Details")=0,"Pending",_xlfn.XLOOKUP(A135,'Job Details'!A:A,'Job Details'!AU:AU,"Not In Job Details"))</f>
        <v>Pending</v>
      </c>
    </row>
    <row r="136" spans="1:3">
      <c r="A136" s="358" t="s">
        <v>137</v>
      </c>
      <c r="B136" s="100" t="str">
        <f>IF(_xlfn.XLOOKUP(A136,'Job Details'!A:A,'Job Details'!I:I,"Not in schedule")=0,"Pending",_xlfn.XLOOKUP(A136,'Job Details'!A:A,'Job Details'!I:I,"Not in schedule"))</f>
        <v>Pending</v>
      </c>
      <c r="C136" s="100" t="str">
        <f>IF(_xlfn.XLOOKUP(A136,'Job Details'!A:A,'Job Details'!AU:AU,"Job Details")=0,"Pending",_xlfn.XLOOKUP(A136,'Job Details'!A:A,'Job Details'!AU:AU,"Not In Job Details"))</f>
        <v>Pending</v>
      </c>
    </row>
    <row r="137" spans="1:3">
      <c r="A137" s="358" t="s">
        <v>138</v>
      </c>
      <c r="B137" s="100" t="str">
        <f>IF(_xlfn.XLOOKUP(A137,'Job Details'!A:A,'Job Details'!I:I,"Not in schedule")=0,"Pending",_xlfn.XLOOKUP(A137,'Job Details'!A:A,'Job Details'!I:I,"Not in schedule"))</f>
        <v>Pending</v>
      </c>
      <c r="C137" s="100" t="str">
        <f>IF(_xlfn.XLOOKUP(A137,'Job Details'!A:A,'Job Details'!AU:AU,"Job Details")=0,"Pending",_xlfn.XLOOKUP(A137,'Job Details'!A:A,'Job Details'!AU:AU,"Not In Job Details"))</f>
        <v>Pending</v>
      </c>
    </row>
    <row r="138" spans="1:3">
      <c r="A138" s="358" t="s">
        <v>139</v>
      </c>
      <c r="B138" s="100" t="str">
        <f>IF(_xlfn.XLOOKUP(A138,'Job Details'!A:A,'Job Details'!I:I,"Not in schedule")=0,"Pending",_xlfn.XLOOKUP(A138,'Job Details'!A:A,'Job Details'!I:I,"Not in schedule"))</f>
        <v>Pending</v>
      </c>
      <c r="C138" s="100" t="str">
        <f>IF(_xlfn.XLOOKUP(A138,'Job Details'!A:A,'Job Details'!AU:AU,"Job Details")=0,"Pending",_xlfn.XLOOKUP(A138,'Job Details'!A:A,'Job Details'!AU:AU,"Not In Job Details"))</f>
        <v>Pending</v>
      </c>
    </row>
    <row r="139" spans="1:3">
      <c r="A139" s="359" t="s">
        <v>140</v>
      </c>
      <c r="B139" s="100" t="str">
        <f>IF(_xlfn.XLOOKUP(A139,'Job Details'!A:A,'Job Details'!I:I,"Not in schedule")=0,"Pending",_xlfn.XLOOKUP(A139,'Job Details'!A:A,'Job Details'!I:I,"Not in schedule"))</f>
        <v>Pending</v>
      </c>
      <c r="C139" s="100" t="str">
        <f>IF(_xlfn.XLOOKUP(A139,'Job Details'!A:A,'Job Details'!AU:AU,"Job Details")=0,"Pending",_xlfn.XLOOKUP(A139,'Job Details'!A:A,'Job Details'!AU:AU,"Not In Job Details"))</f>
        <v>Pending</v>
      </c>
    </row>
    <row r="140" spans="1:3">
      <c r="A140" s="359" t="s">
        <v>141</v>
      </c>
      <c r="B140" s="100" t="str">
        <f>IF(_xlfn.XLOOKUP(A140,'Job Details'!A:A,'Job Details'!I:I,"Not in schedule")=0,"Pending",_xlfn.XLOOKUP(A140,'Job Details'!A:A,'Job Details'!I:I,"Not in schedule"))</f>
        <v>Pending</v>
      </c>
      <c r="C140" s="100" t="str">
        <f>IF(_xlfn.XLOOKUP(A140,'Job Details'!A:A,'Job Details'!AU:AU,"Job Details")=0,"Pending",_xlfn.XLOOKUP(A140,'Job Details'!A:A,'Job Details'!AU:AU,"Not In Job Details"))</f>
        <v>Pending</v>
      </c>
    </row>
    <row r="141" spans="1:3">
      <c r="A141" s="359" t="s">
        <v>142</v>
      </c>
      <c r="B141" s="100" t="str">
        <f>IF(_xlfn.XLOOKUP(A141,'Job Details'!A:A,'Job Details'!I:I,"Not in schedule")=0,"Pending",_xlfn.XLOOKUP(A141,'Job Details'!A:A,'Job Details'!I:I,"Not in schedule"))</f>
        <v>Pending</v>
      </c>
      <c r="C141" s="100" t="str">
        <f>IF(_xlfn.XLOOKUP(A141,'Job Details'!A:A,'Job Details'!AU:AU,"Job Details")=0,"Pending",_xlfn.XLOOKUP(A141,'Job Details'!A:A,'Job Details'!AU:AU,"Not In Job Details"))</f>
        <v>Pending</v>
      </c>
    </row>
    <row r="142" spans="1:3">
      <c r="A142" s="358" t="s">
        <v>143</v>
      </c>
      <c r="B142" s="100" t="str">
        <f>IF(_xlfn.XLOOKUP(A142,'Job Details'!A:A,'Job Details'!I:I,"Not in schedule")=0,"Pending",_xlfn.XLOOKUP(A142,'Job Details'!A:A,'Job Details'!I:I,"Not in schedule"))</f>
        <v>Pending</v>
      </c>
      <c r="C142" s="100" t="str">
        <f>IF(_xlfn.XLOOKUP(A142,'Job Details'!A:A,'Job Details'!AU:AU,"Job Details")=0,"Pending",_xlfn.XLOOKUP(A142,'Job Details'!A:A,'Job Details'!AU:AU,"Not In Job Details"))</f>
        <v>Pending</v>
      </c>
    </row>
    <row r="143" spans="1:3">
      <c r="A143" s="358" t="s">
        <v>144</v>
      </c>
      <c r="B143" s="100" t="str">
        <f>IF(_xlfn.XLOOKUP(A143,'Job Details'!A:A,'Job Details'!I:I,"Not in schedule")=0,"Pending",_xlfn.XLOOKUP(A143,'Job Details'!A:A,'Job Details'!I:I,"Not in schedule"))</f>
        <v>Pending</v>
      </c>
      <c r="C143" s="100" t="str">
        <f>IF(_xlfn.XLOOKUP(A143,'Job Details'!A:A,'Job Details'!AU:AU,"Job Details")=0,"Pending",_xlfn.XLOOKUP(A143,'Job Details'!A:A,'Job Details'!AU:AU,"Not In Job Details"))</f>
        <v>Pending</v>
      </c>
    </row>
    <row r="144" spans="1:3">
      <c r="A144" s="358" t="s">
        <v>145</v>
      </c>
      <c r="B144" s="100" t="str">
        <f>IF(_xlfn.XLOOKUP(A144,'Job Details'!A:A,'Job Details'!I:I,"Not in schedule")=0,"Pending",_xlfn.XLOOKUP(A144,'Job Details'!A:A,'Job Details'!I:I,"Not in schedule"))</f>
        <v>Pending</v>
      </c>
      <c r="C144" s="100" t="str">
        <f>IF(_xlfn.XLOOKUP(A144,'Job Details'!A:A,'Job Details'!AU:AU,"Job Details")=0,"Pending",_xlfn.XLOOKUP(A144,'Job Details'!A:A,'Job Details'!AU:AU,"Not In Job Details"))</f>
        <v>Pending</v>
      </c>
    </row>
    <row r="145" spans="1:3">
      <c r="A145" s="358" t="s">
        <v>146</v>
      </c>
      <c r="B145" s="100" t="str">
        <f>IF(_xlfn.XLOOKUP(A145,'Job Details'!A:A,'Job Details'!I:I,"Not in schedule")=0,"Pending",_xlfn.XLOOKUP(A145,'Job Details'!A:A,'Job Details'!I:I,"Not in schedule"))</f>
        <v>Pending</v>
      </c>
      <c r="C145" s="100" t="str">
        <f>IF(_xlfn.XLOOKUP(A145,'Job Details'!A:A,'Job Details'!AU:AU,"Job Details")=0,"Pending",_xlfn.XLOOKUP(A145,'Job Details'!A:A,'Job Details'!AU:AU,"Not In Job Details"))</f>
        <v>Pending</v>
      </c>
    </row>
    <row r="146" spans="1:3">
      <c r="A146" s="359" t="s">
        <v>147</v>
      </c>
      <c r="B146" s="100" t="str">
        <f>IF(_xlfn.XLOOKUP(A146,'Job Details'!A:A,'Job Details'!I:I,"Not in schedule")=0,"Pending",_xlfn.XLOOKUP(A146,'Job Details'!A:A,'Job Details'!I:I,"Not in schedule"))</f>
        <v>Pending</v>
      </c>
      <c r="C146" s="100" t="str">
        <f>IF(_xlfn.XLOOKUP(A146,'Job Details'!A:A,'Job Details'!AU:AU,"Job Details")=0,"Pending",_xlfn.XLOOKUP(A146,'Job Details'!A:A,'Job Details'!AU:AU,"Not In Job Details"))</f>
        <v>Pending</v>
      </c>
    </row>
    <row r="147" spans="1:3">
      <c r="A147" s="358" t="s">
        <v>148</v>
      </c>
      <c r="B147" s="100" t="str">
        <f>IF(_xlfn.XLOOKUP(A147,'Job Details'!A:A,'Job Details'!I:I,"Not in schedule")=0,"Pending",_xlfn.XLOOKUP(A147,'Job Details'!A:A,'Job Details'!I:I,"Not in schedule"))</f>
        <v>Pending</v>
      </c>
      <c r="C147" s="100" t="str">
        <f>IF(_xlfn.XLOOKUP(A147,'Job Details'!A:A,'Job Details'!AU:AU,"Job Details")=0,"Pending",_xlfn.XLOOKUP(A147,'Job Details'!A:A,'Job Details'!AU:AU,"Not In Job Details"))</f>
        <v>Pending</v>
      </c>
    </row>
    <row r="148" spans="1:3">
      <c r="A148" s="358" t="s">
        <v>149</v>
      </c>
      <c r="B148" s="100" t="str">
        <f>IF(_xlfn.XLOOKUP(A148,'Job Details'!A:A,'Job Details'!I:I,"Not in schedule")=0,"Pending",_xlfn.XLOOKUP(A148,'Job Details'!A:A,'Job Details'!I:I,"Not in schedule"))</f>
        <v>Pending</v>
      </c>
      <c r="C148" s="100" t="str">
        <f>IF(_xlfn.XLOOKUP(A148,'Job Details'!A:A,'Job Details'!AU:AU,"Job Details")=0,"Pending",_xlfn.XLOOKUP(A148,'Job Details'!A:A,'Job Details'!AU:AU,"Not In Job Details"))</f>
        <v>Pending</v>
      </c>
    </row>
    <row r="149" spans="1:3">
      <c r="A149" s="358" t="s">
        <v>150</v>
      </c>
      <c r="B149" s="100" t="str">
        <f>IF(_xlfn.XLOOKUP(A149,'Job Details'!A:A,'Job Details'!I:I,"Not in schedule")=0,"Pending",_xlfn.XLOOKUP(A149,'Job Details'!A:A,'Job Details'!I:I,"Not in schedule"))</f>
        <v>Pending</v>
      </c>
      <c r="C149" s="100" t="str">
        <f>IF(_xlfn.XLOOKUP(A149,'Job Details'!A:A,'Job Details'!AU:AU,"Job Details")=0,"Pending",_xlfn.XLOOKUP(A149,'Job Details'!A:A,'Job Details'!AU:AU,"Not In Job Details"))</f>
        <v>Pending</v>
      </c>
    </row>
    <row r="150" spans="1:3">
      <c r="A150" s="358" t="s">
        <v>151</v>
      </c>
      <c r="B150" s="100" t="str">
        <f>IF(_xlfn.XLOOKUP(A150,'Job Details'!A:A,'Job Details'!I:I,"Not in schedule")=0,"Pending",_xlfn.XLOOKUP(A150,'Job Details'!A:A,'Job Details'!I:I,"Not in schedule"))</f>
        <v>Pending</v>
      </c>
      <c r="C150" s="100" t="str">
        <f>IF(_xlfn.XLOOKUP(A150,'Job Details'!A:A,'Job Details'!AU:AU,"Job Details")=0,"Pending",_xlfn.XLOOKUP(A150,'Job Details'!A:A,'Job Details'!AU:AU,"Not In Job Details"))</f>
        <v>Pending</v>
      </c>
    </row>
    <row r="151" spans="1:3">
      <c r="A151" s="358" t="s">
        <v>152</v>
      </c>
      <c r="B151" s="100" t="str">
        <f>IF(_xlfn.XLOOKUP(A151,'Job Details'!A:A,'Job Details'!I:I,"Not in schedule")=0,"Pending",_xlfn.XLOOKUP(A151,'Job Details'!A:A,'Job Details'!I:I,"Not in schedule"))</f>
        <v>Pending</v>
      </c>
      <c r="C151" s="100" t="str">
        <f>IF(_xlfn.XLOOKUP(A151,'Job Details'!A:A,'Job Details'!AU:AU,"Job Details")=0,"Pending",_xlfn.XLOOKUP(A151,'Job Details'!A:A,'Job Details'!AU:AU,"Not In Job Details"))</f>
        <v>Pending</v>
      </c>
    </row>
    <row r="152" spans="1:3">
      <c r="A152" s="358" t="s">
        <v>153</v>
      </c>
      <c r="B152" s="100" t="str">
        <f>IF(_xlfn.XLOOKUP(A152,'Job Details'!A:A,'Job Details'!I:I,"Not in schedule")=0,"Pending",_xlfn.XLOOKUP(A152,'Job Details'!A:A,'Job Details'!I:I,"Not in schedule"))</f>
        <v>Pending</v>
      </c>
      <c r="C152" s="100" t="str">
        <f>IF(_xlfn.XLOOKUP(A152,'Job Details'!A:A,'Job Details'!AU:AU,"Job Details")=0,"Pending",_xlfn.XLOOKUP(A152,'Job Details'!A:A,'Job Details'!AU:AU,"Not In Job Details"))</f>
        <v>Pending</v>
      </c>
    </row>
    <row r="153" spans="1:3">
      <c r="A153" s="358" t="s">
        <v>154</v>
      </c>
      <c r="B153" s="100" t="str">
        <f>IF(_xlfn.XLOOKUP(A153,'Job Details'!A:A,'Job Details'!I:I,"Not in schedule")=0,"Pending",_xlfn.XLOOKUP(A153,'Job Details'!A:A,'Job Details'!I:I,"Not in schedule"))</f>
        <v>Pending</v>
      </c>
      <c r="C153" s="100" t="str">
        <f>IF(_xlfn.XLOOKUP(A153,'Job Details'!A:A,'Job Details'!AU:AU,"Job Details")=0,"Pending",_xlfn.XLOOKUP(A153,'Job Details'!A:A,'Job Details'!AU:AU,"Not In Job Details"))</f>
        <v>Pending</v>
      </c>
    </row>
    <row r="154" spans="1:3">
      <c r="A154" s="358" t="s">
        <v>155</v>
      </c>
      <c r="B154" s="100" t="str">
        <f>IF(_xlfn.XLOOKUP(A154,'Job Details'!A:A,'Job Details'!I:I,"Not in schedule")=0,"Pending",_xlfn.XLOOKUP(A154,'Job Details'!A:A,'Job Details'!I:I,"Not in schedule"))</f>
        <v>Pending</v>
      </c>
      <c r="C154" s="100" t="str">
        <f>IF(_xlfn.XLOOKUP(A154,'Job Details'!A:A,'Job Details'!AU:AU,"Job Details")=0,"Pending",_xlfn.XLOOKUP(A154,'Job Details'!A:A,'Job Details'!AU:AU,"Not In Job Details"))</f>
        <v>Pending</v>
      </c>
    </row>
    <row r="155" spans="1:3">
      <c r="A155" s="359" t="s">
        <v>156</v>
      </c>
      <c r="B155" s="100" t="str">
        <f>IF(_xlfn.XLOOKUP(A155,'Job Details'!A:A,'Job Details'!I:I,"Not in schedule")=0,"Pending",_xlfn.XLOOKUP(A155,'Job Details'!A:A,'Job Details'!I:I,"Not in schedule"))</f>
        <v>Pending</v>
      </c>
      <c r="C155" s="100" t="str">
        <f>IF(_xlfn.XLOOKUP(A155,'Job Details'!A:A,'Job Details'!AU:AU,"Job Details")=0,"Pending",_xlfn.XLOOKUP(A155,'Job Details'!A:A,'Job Details'!AU:AU,"Not In Job Details"))</f>
        <v>Pending</v>
      </c>
    </row>
    <row r="156" spans="1:3">
      <c r="A156" s="359" t="s">
        <v>157</v>
      </c>
      <c r="B156" s="100" t="str">
        <f>IF(_xlfn.XLOOKUP(A156,'Job Details'!A:A,'Job Details'!I:I,"Not in schedule")=0,"Pending",_xlfn.XLOOKUP(A156,'Job Details'!A:A,'Job Details'!I:I,"Not in schedule"))</f>
        <v>Pending</v>
      </c>
      <c r="C156" s="100" t="str">
        <f>IF(_xlfn.XLOOKUP(A156,'Job Details'!A:A,'Job Details'!AU:AU,"Job Details")=0,"Pending",_xlfn.XLOOKUP(A156,'Job Details'!A:A,'Job Details'!AU:AU,"Not In Job Details"))</f>
        <v>Pending</v>
      </c>
    </row>
    <row r="157" spans="1:3">
      <c r="A157" s="359" t="s">
        <v>158</v>
      </c>
      <c r="B157" s="100" t="str">
        <f>IF(_xlfn.XLOOKUP(A157,'Job Details'!A:A,'Job Details'!I:I,"Not in schedule")=0,"Pending",_xlfn.XLOOKUP(A157,'Job Details'!A:A,'Job Details'!I:I,"Not in schedule"))</f>
        <v>Pending</v>
      </c>
      <c r="C157" s="100" t="str">
        <f>IF(_xlfn.XLOOKUP(A157,'Job Details'!A:A,'Job Details'!AU:AU,"Job Details")=0,"Pending",_xlfn.XLOOKUP(A157,'Job Details'!A:A,'Job Details'!AU:AU,"Not In Job Details"))</f>
        <v>Pending</v>
      </c>
    </row>
    <row r="158" spans="1:3">
      <c r="A158" s="359" t="s">
        <v>159</v>
      </c>
      <c r="B158" s="100" t="str">
        <f>IF(_xlfn.XLOOKUP(A158,'Job Details'!A:A,'Job Details'!I:I,"Not in schedule")=0,"Pending",_xlfn.XLOOKUP(A158,'Job Details'!A:A,'Job Details'!I:I,"Not in schedule"))</f>
        <v>Pending</v>
      </c>
      <c r="C158" s="100" t="str">
        <f>IF(_xlfn.XLOOKUP(A158,'Job Details'!A:A,'Job Details'!AU:AU,"Job Details")=0,"Pending",_xlfn.XLOOKUP(A158,'Job Details'!A:A,'Job Details'!AU:AU,"Not In Job Details"))</f>
        <v>Pending</v>
      </c>
    </row>
    <row r="159" spans="1:3">
      <c r="A159" s="359" t="s">
        <v>160</v>
      </c>
      <c r="B159" s="100" t="str">
        <f>IF(_xlfn.XLOOKUP(A159,'Job Details'!A:A,'Job Details'!I:I,"Not in schedule")=0,"Pending",_xlfn.XLOOKUP(A159,'Job Details'!A:A,'Job Details'!I:I,"Not in schedule"))</f>
        <v>Pending</v>
      </c>
      <c r="C159" s="100" t="str">
        <f>IF(_xlfn.XLOOKUP(A159,'Job Details'!A:A,'Job Details'!AU:AU,"Job Details")=0,"Pending",_xlfn.XLOOKUP(A159,'Job Details'!A:A,'Job Details'!AU:AU,"Not In Job Details"))</f>
        <v>Pending</v>
      </c>
    </row>
    <row r="160" spans="1:3">
      <c r="A160" s="359" t="s">
        <v>161</v>
      </c>
      <c r="B160" s="100" t="str">
        <f>IF(_xlfn.XLOOKUP(A160,'Job Details'!A:A,'Job Details'!I:I,"Not in schedule")=0,"Pending",_xlfn.XLOOKUP(A160,'Job Details'!A:A,'Job Details'!I:I,"Not in schedule"))</f>
        <v>Pending</v>
      </c>
      <c r="C160" s="100" t="str">
        <f>IF(_xlfn.XLOOKUP(A160,'Job Details'!A:A,'Job Details'!AU:AU,"Job Details")=0,"Pending",_xlfn.XLOOKUP(A160,'Job Details'!A:A,'Job Details'!AU:AU,"Not In Job Details"))</f>
        <v>Pending</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8979A-CA21-4511-9A9A-FF9EFCCA0DE2}">
  <sheetPr filterMode="1"/>
  <dimension ref="A1:AU193"/>
  <sheetViews>
    <sheetView topLeftCell="A24" workbookViewId="0">
      <pane xSplit="1" topLeftCell="E11" activePane="topRight" state="frozen"/>
      <selection pane="topRight" activeCell="AU3" sqref="AU3"/>
    </sheetView>
  </sheetViews>
  <sheetFormatPr defaultColWidth="32" defaultRowHeight="15"/>
  <cols>
    <col min="1" max="1" width="57.85546875" style="5" customWidth="1"/>
    <col min="2" max="2" width="35.85546875" style="5" customWidth="1"/>
    <col min="3" max="3" width="12.28515625" style="41" customWidth="1"/>
    <col min="4" max="4" width="59.28515625" style="5" customWidth="1"/>
    <col min="5" max="5" width="12.28515625" style="78" customWidth="1"/>
    <col min="6" max="6" width="46.85546875" style="5" customWidth="1"/>
    <col min="7" max="7" width="32" style="5"/>
    <col min="8" max="8" width="23.85546875" style="5" customWidth="1"/>
    <col min="9" max="9" width="44.28515625" style="5" customWidth="1"/>
    <col min="10" max="11" width="32" style="5"/>
    <col min="12" max="12" width="58.28515625" style="5" customWidth="1"/>
    <col min="13" max="16384" width="32" style="5"/>
  </cols>
  <sheetData>
    <row r="1" spans="1:47" s="37" customFormat="1" ht="23.25">
      <c r="A1" s="366" t="s">
        <v>162</v>
      </c>
      <c r="B1" s="367"/>
      <c r="C1" s="367"/>
      <c r="D1" s="368"/>
      <c r="L1" s="311" t="s">
        <v>163</v>
      </c>
      <c r="M1" s="322" t="s">
        <v>163</v>
      </c>
      <c r="N1" s="330" t="s">
        <v>163</v>
      </c>
      <c r="O1" s="330" t="s">
        <v>163</v>
      </c>
      <c r="P1" s="330" t="s">
        <v>163</v>
      </c>
      <c r="Q1" s="330" t="s">
        <v>163</v>
      </c>
      <c r="R1" s="283" t="s">
        <v>163</v>
      </c>
      <c r="S1" s="283" t="s">
        <v>163</v>
      </c>
      <c r="T1" s="330" t="s">
        <v>163</v>
      </c>
      <c r="U1" s="283" t="s">
        <v>163</v>
      </c>
      <c r="V1" s="283" t="s">
        <v>163</v>
      </c>
      <c r="W1" s="330" t="s">
        <v>163</v>
      </c>
      <c r="X1" s="283" t="s">
        <v>163</v>
      </c>
      <c r="Y1" s="283" t="s">
        <v>163</v>
      </c>
      <c r="Z1" s="283" t="s">
        <v>163</v>
      </c>
      <c r="AA1" s="283" t="s">
        <v>163</v>
      </c>
      <c r="AB1" s="283" t="s">
        <v>163</v>
      </c>
      <c r="AC1" s="283" t="s">
        <v>163</v>
      </c>
      <c r="AD1" s="283" t="s">
        <v>163</v>
      </c>
      <c r="AE1" s="295" t="s">
        <v>163</v>
      </c>
      <c r="AF1" s="330" t="s">
        <v>163</v>
      </c>
      <c r="AG1" s="283" t="s">
        <v>163</v>
      </c>
      <c r="AH1" s="283" t="s">
        <v>163</v>
      </c>
      <c r="AI1" s="283" t="s">
        <v>163</v>
      </c>
      <c r="AJ1" s="283" t="s">
        <v>163</v>
      </c>
      <c r="AK1" s="283" t="s">
        <v>163</v>
      </c>
      <c r="AL1" s="283" t="s">
        <v>163</v>
      </c>
      <c r="AM1" s="283" t="s">
        <v>163</v>
      </c>
      <c r="AN1" s="283" t="s">
        <v>163</v>
      </c>
      <c r="AO1" s="283" t="s">
        <v>163</v>
      </c>
      <c r="AP1" s="283" t="s">
        <v>163</v>
      </c>
      <c r="AQ1" s="283" t="s">
        <v>163</v>
      </c>
      <c r="AR1" s="283" t="s">
        <v>163</v>
      </c>
      <c r="AS1" s="283" t="s">
        <v>163</v>
      </c>
      <c r="AT1" s="283" t="s">
        <v>163</v>
      </c>
    </row>
    <row r="2" spans="1:47" s="37" customFormat="1" ht="45.75">
      <c r="A2" s="56" t="s">
        <v>164</v>
      </c>
      <c r="B2" s="39" t="s">
        <v>165</v>
      </c>
      <c r="C2" s="39" t="s">
        <v>166</v>
      </c>
      <c r="D2" s="56" t="s">
        <v>167</v>
      </c>
      <c r="E2" s="74" t="s">
        <v>168</v>
      </c>
      <c r="F2" s="56" t="s">
        <v>169</v>
      </c>
      <c r="G2" s="37" t="s">
        <v>170</v>
      </c>
      <c r="H2" s="37" t="s">
        <v>171</v>
      </c>
      <c r="I2" s="37" t="s">
        <v>172</v>
      </c>
      <c r="J2" s="244" t="s">
        <v>173</v>
      </c>
      <c r="K2" s="244" t="s">
        <v>174</v>
      </c>
      <c r="L2" s="354" t="s">
        <v>175</v>
      </c>
      <c r="M2" s="353" t="s">
        <v>176</v>
      </c>
      <c r="N2" s="354" t="s">
        <v>177</v>
      </c>
      <c r="O2" s="354" t="s">
        <v>178</v>
      </c>
      <c r="P2" s="354" t="s">
        <v>179</v>
      </c>
      <c r="Q2" s="354" t="s">
        <v>180</v>
      </c>
      <c r="R2" s="355" t="s">
        <v>181</v>
      </c>
      <c r="S2" s="355" t="s">
        <v>182</v>
      </c>
      <c r="T2" s="353" t="s">
        <v>183</v>
      </c>
      <c r="U2" s="356" t="s">
        <v>184</v>
      </c>
      <c r="V2" s="356" t="s">
        <v>185</v>
      </c>
      <c r="W2" s="354" t="s">
        <v>186</v>
      </c>
      <c r="X2" s="355" t="s">
        <v>187</v>
      </c>
      <c r="Y2" s="355" t="s">
        <v>188</v>
      </c>
      <c r="Z2" s="355" t="s">
        <v>189</v>
      </c>
      <c r="AA2" s="355" t="s">
        <v>190</v>
      </c>
      <c r="AB2" s="356" t="s">
        <v>191</v>
      </c>
      <c r="AC2" s="356" t="s">
        <v>192</v>
      </c>
      <c r="AD2" s="355" t="s">
        <v>193</v>
      </c>
      <c r="AE2" s="356" t="s">
        <v>194</v>
      </c>
      <c r="AF2" s="354" t="s">
        <v>195</v>
      </c>
      <c r="AG2" s="355" t="s">
        <v>196</v>
      </c>
      <c r="AH2" s="355" t="s">
        <v>197</v>
      </c>
      <c r="AI2" s="355" t="s">
        <v>198</v>
      </c>
      <c r="AJ2" s="356" t="s">
        <v>199</v>
      </c>
      <c r="AK2" s="356" t="s">
        <v>200</v>
      </c>
      <c r="AL2" s="355" t="s">
        <v>201</v>
      </c>
      <c r="AM2" s="356" t="s">
        <v>202</v>
      </c>
      <c r="AN2" s="356" t="s">
        <v>203</v>
      </c>
      <c r="AO2" s="356" t="s">
        <v>204</v>
      </c>
      <c r="AP2" s="356" t="s">
        <v>205</v>
      </c>
      <c r="AQ2" s="356" t="s">
        <v>206</v>
      </c>
      <c r="AR2" s="356" t="s">
        <v>207</v>
      </c>
      <c r="AS2" s="356" t="s">
        <v>208</v>
      </c>
      <c r="AT2" s="356" t="s">
        <v>209</v>
      </c>
      <c r="AU2" s="37" t="s">
        <v>210</v>
      </c>
    </row>
    <row r="3" spans="1:47" s="57" customFormat="1" ht="30.75">
      <c r="A3" s="57" t="s">
        <v>3</v>
      </c>
      <c r="C3" s="59"/>
      <c r="D3" s="57" t="s">
        <v>211</v>
      </c>
      <c r="E3" s="75">
        <v>0.5</v>
      </c>
      <c r="L3" s="312" t="s">
        <v>163</v>
      </c>
      <c r="M3" s="282" t="s">
        <v>212</v>
      </c>
      <c r="N3" s="291" t="s">
        <v>213</v>
      </c>
      <c r="O3" s="291" t="s">
        <v>163</v>
      </c>
      <c r="P3" s="291" t="s">
        <v>214</v>
      </c>
      <c r="Q3" s="291" t="s">
        <v>163</v>
      </c>
      <c r="R3" s="279" t="s">
        <v>163</v>
      </c>
      <c r="S3" s="279" t="s">
        <v>215</v>
      </c>
      <c r="T3" s="291" t="s">
        <v>163</v>
      </c>
      <c r="U3" s="279" t="s">
        <v>163</v>
      </c>
      <c r="V3" s="279">
        <v>1</v>
      </c>
      <c r="W3" s="344">
        <v>0.54166666666666663</v>
      </c>
      <c r="X3" s="279" t="s">
        <v>163</v>
      </c>
      <c r="Y3" s="279" t="s">
        <v>163</v>
      </c>
      <c r="Z3" s="279">
        <v>1</v>
      </c>
      <c r="AA3" s="279" t="s">
        <v>163</v>
      </c>
      <c r="AB3" s="279" t="s">
        <v>163</v>
      </c>
      <c r="AC3" s="279">
        <v>3</v>
      </c>
      <c r="AD3" s="279" t="s">
        <v>163</v>
      </c>
      <c r="AE3" s="280" t="s">
        <v>163</v>
      </c>
      <c r="AF3" s="291" t="s">
        <v>163</v>
      </c>
      <c r="AG3" s="279" t="s">
        <v>163</v>
      </c>
      <c r="AH3" s="279" t="s">
        <v>163</v>
      </c>
      <c r="AI3" s="279" t="s">
        <v>163</v>
      </c>
      <c r="AJ3" s="279" t="s">
        <v>163</v>
      </c>
      <c r="AK3" s="279" t="s">
        <v>163</v>
      </c>
      <c r="AL3" s="279" t="s">
        <v>163</v>
      </c>
      <c r="AM3" s="279" t="s">
        <v>163</v>
      </c>
      <c r="AN3" s="279" t="s">
        <v>163</v>
      </c>
      <c r="AO3" s="279" t="s">
        <v>163</v>
      </c>
      <c r="AP3" s="279" t="s">
        <v>163</v>
      </c>
      <c r="AQ3" s="279" t="s">
        <v>163</v>
      </c>
      <c r="AR3" s="279" t="s">
        <v>163</v>
      </c>
      <c r="AS3" s="279" t="s">
        <v>163</v>
      </c>
      <c r="AT3" s="279" t="s">
        <v>163</v>
      </c>
    </row>
    <row r="4" spans="1:47" s="57" customFormat="1" ht="45.75">
      <c r="A4" s="58" t="s">
        <v>4</v>
      </c>
      <c r="B4" s="57" t="s">
        <v>3</v>
      </c>
      <c r="C4" s="59">
        <v>1</v>
      </c>
      <c r="E4" s="76"/>
      <c r="F4" s="57" t="s">
        <v>216</v>
      </c>
      <c r="L4" s="312" t="s">
        <v>217</v>
      </c>
      <c r="M4" s="282" t="s">
        <v>218</v>
      </c>
      <c r="N4" s="291" t="s">
        <v>219</v>
      </c>
      <c r="O4" s="291" t="s">
        <v>220</v>
      </c>
      <c r="P4" s="291" t="s">
        <v>214</v>
      </c>
      <c r="Q4" s="291" t="s">
        <v>221</v>
      </c>
      <c r="R4" s="279" t="s">
        <v>222</v>
      </c>
      <c r="S4" s="279" t="s">
        <v>215</v>
      </c>
      <c r="T4" s="291" t="s">
        <v>163</v>
      </c>
      <c r="U4" s="279" t="s">
        <v>163</v>
      </c>
      <c r="V4" s="279">
        <v>0</v>
      </c>
      <c r="W4" s="291" t="s">
        <v>163</v>
      </c>
      <c r="X4" s="279" t="s">
        <v>163</v>
      </c>
      <c r="Y4" s="279" t="s">
        <v>163</v>
      </c>
      <c r="Z4" s="279">
        <v>1</v>
      </c>
      <c r="AA4" s="279" t="s">
        <v>223</v>
      </c>
      <c r="AB4" s="279" t="s">
        <v>224</v>
      </c>
      <c r="AC4" s="279">
        <v>3</v>
      </c>
      <c r="AD4" s="279" t="s">
        <v>225</v>
      </c>
      <c r="AE4" s="280" t="s">
        <v>226</v>
      </c>
      <c r="AF4" s="291" t="s">
        <v>163</v>
      </c>
      <c r="AG4" s="279" t="s">
        <v>163</v>
      </c>
      <c r="AH4" s="279" t="s">
        <v>227</v>
      </c>
      <c r="AI4" s="279" t="s">
        <v>228</v>
      </c>
      <c r="AJ4" s="279" t="s">
        <v>163</v>
      </c>
      <c r="AK4" s="279" t="s">
        <v>163</v>
      </c>
      <c r="AL4" s="279" t="s">
        <v>163</v>
      </c>
      <c r="AM4" s="279" t="s">
        <v>163</v>
      </c>
      <c r="AN4" s="279" t="s">
        <v>163</v>
      </c>
      <c r="AO4" s="279" t="s">
        <v>163</v>
      </c>
      <c r="AP4" s="279" t="s">
        <v>163</v>
      </c>
      <c r="AQ4" s="279" t="s">
        <v>163</v>
      </c>
      <c r="AR4" s="279" t="s">
        <v>163</v>
      </c>
      <c r="AS4" s="279" t="s">
        <v>163</v>
      </c>
      <c r="AT4" s="279" t="s">
        <v>163</v>
      </c>
    </row>
    <row r="5" spans="1:47" s="57" customFormat="1" ht="45.75">
      <c r="A5" s="57" t="s">
        <v>5</v>
      </c>
      <c r="B5" s="57" t="s">
        <v>3</v>
      </c>
      <c r="C5" s="59">
        <v>2</v>
      </c>
      <c r="D5" s="77" t="s">
        <v>229</v>
      </c>
      <c r="E5" s="76"/>
      <c r="F5" s="57" t="s">
        <v>230</v>
      </c>
      <c r="L5" s="313" t="s">
        <v>231</v>
      </c>
      <c r="M5" s="323" t="s">
        <v>232</v>
      </c>
      <c r="N5" s="315" t="s">
        <v>219</v>
      </c>
      <c r="O5" s="315" t="s">
        <v>220</v>
      </c>
      <c r="P5" s="315" t="s">
        <v>214</v>
      </c>
      <c r="Q5" s="315" t="s">
        <v>221</v>
      </c>
      <c r="R5" s="334" t="s">
        <v>233</v>
      </c>
      <c r="S5" s="334" t="s">
        <v>215</v>
      </c>
      <c r="T5" s="315" t="s">
        <v>163</v>
      </c>
      <c r="U5" s="334" t="s">
        <v>163</v>
      </c>
      <c r="V5" s="334">
        <v>0</v>
      </c>
      <c r="W5" s="315" t="s">
        <v>163</v>
      </c>
      <c r="X5" s="334" t="s">
        <v>163</v>
      </c>
      <c r="Y5" s="334" t="s">
        <v>163</v>
      </c>
      <c r="Z5" s="334">
        <v>1</v>
      </c>
      <c r="AA5" s="334" t="s">
        <v>223</v>
      </c>
      <c r="AB5" s="334" t="s">
        <v>224</v>
      </c>
      <c r="AC5" s="334">
        <v>3</v>
      </c>
      <c r="AD5" s="334" t="s">
        <v>225</v>
      </c>
      <c r="AE5" s="345" t="s">
        <v>234</v>
      </c>
      <c r="AF5" s="315" t="s">
        <v>163</v>
      </c>
      <c r="AG5" s="334" t="s">
        <v>163</v>
      </c>
      <c r="AH5" s="334" t="s">
        <v>227</v>
      </c>
      <c r="AI5" s="334" t="s">
        <v>228</v>
      </c>
      <c r="AJ5" s="334" t="s">
        <v>163</v>
      </c>
      <c r="AK5" s="334" t="s">
        <v>163</v>
      </c>
      <c r="AL5" s="334" t="s">
        <v>163</v>
      </c>
      <c r="AM5" s="334" t="s">
        <v>163</v>
      </c>
      <c r="AN5" s="334" t="s">
        <v>163</v>
      </c>
      <c r="AO5" s="334" t="s">
        <v>163</v>
      </c>
      <c r="AP5" s="334" t="s">
        <v>163</v>
      </c>
      <c r="AQ5" s="334" t="s">
        <v>163</v>
      </c>
      <c r="AR5" s="334" t="s">
        <v>163</v>
      </c>
      <c r="AS5" s="334" t="s">
        <v>163</v>
      </c>
      <c r="AT5" s="334" t="s">
        <v>163</v>
      </c>
    </row>
    <row r="6" spans="1:47" s="57" customFormat="1" ht="45.75">
      <c r="A6" s="57" t="s">
        <v>6</v>
      </c>
      <c r="B6" s="57" t="s">
        <v>3</v>
      </c>
      <c r="C6" s="59">
        <v>3</v>
      </c>
      <c r="D6" s="57" t="s">
        <v>235</v>
      </c>
      <c r="E6" s="76"/>
      <c r="F6" s="57" t="s">
        <v>236</v>
      </c>
      <c r="L6" s="314" t="s">
        <v>237</v>
      </c>
      <c r="M6" s="317" t="s">
        <v>238</v>
      </c>
      <c r="N6" s="318" t="s">
        <v>219</v>
      </c>
      <c r="O6" s="318" t="s">
        <v>239</v>
      </c>
      <c r="P6" s="318" t="s">
        <v>214</v>
      </c>
      <c r="Q6" s="318" t="s">
        <v>221</v>
      </c>
      <c r="R6" s="335" t="s">
        <v>240</v>
      </c>
      <c r="S6" s="335" t="s">
        <v>215</v>
      </c>
      <c r="T6" s="318" t="s">
        <v>163</v>
      </c>
      <c r="U6" s="335" t="s">
        <v>163</v>
      </c>
      <c r="V6" s="335">
        <v>0</v>
      </c>
      <c r="W6" s="318" t="s">
        <v>163</v>
      </c>
      <c r="X6" s="335" t="s">
        <v>163</v>
      </c>
      <c r="Y6" s="335" t="s">
        <v>163</v>
      </c>
      <c r="Z6" s="335">
        <v>1</v>
      </c>
      <c r="AA6" s="335" t="s">
        <v>223</v>
      </c>
      <c r="AB6" s="335" t="s">
        <v>224</v>
      </c>
      <c r="AC6" s="335">
        <v>3</v>
      </c>
      <c r="AD6" s="335" t="s">
        <v>225</v>
      </c>
      <c r="AE6" s="342" t="s">
        <v>241</v>
      </c>
      <c r="AF6" s="318" t="s">
        <v>163</v>
      </c>
      <c r="AG6" s="335" t="s">
        <v>163</v>
      </c>
      <c r="AH6" s="335" t="s">
        <v>227</v>
      </c>
      <c r="AI6" s="335" t="s">
        <v>228</v>
      </c>
      <c r="AJ6" s="335" t="s">
        <v>163</v>
      </c>
      <c r="AK6" s="335" t="s">
        <v>163</v>
      </c>
      <c r="AL6" s="335" t="s">
        <v>163</v>
      </c>
      <c r="AM6" s="335" t="s">
        <v>163</v>
      </c>
      <c r="AN6" s="335" t="s">
        <v>163</v>
      </c>
      <c r="AO6" s="335" t="s">
        <v>163</v>
      </c>
      <c r="AP6" s="335" t="s">
        <v>163</v>
      </c>
      <c r="AQ6" s="335" t="s">
        <v>163</v>
      </c>
      <c r="AR6" s="335" t="s">
        <v>163</v>
      </c>
      <c r="AS6" s="335" t="s">
        <v>163</v>
      </c>
      <c r="AT6" s="335" t="s">
        <v>163</v>
      </c>
    </row>
    <row r="7" spans="1:47" s="57" customFormat="1" ht="60.75">
      <c r="A7" s="57" t="s">
        <v>7</v>
      </c>
      <c r="B7" s="57" t="s">
        <v>3</v>
      </c>
      <c r="C7" s="59">
        <v>4</v>
      </c>
      <c r="D7" s="77" t="s">
        <v>242</v>
      </c>
      <c r="E7" s="76"/>
      <c r="L7" s="314" t="s">
        <v>243</v>
      </c>
      <c r="M7" s="317" t="s">
        <v>244</v>
      </c>
      <c r="N7" s="318" t="s">
        <v>219</v>
      </c>
      <c r="O7" s="318" t="s">
        <v>245</v>
      </c>
      <c r="P7" s="318" t="s">
        <v>214</v>
      </c>
      <c r="Q7" s="318" t="s">
        <v>221</v>
      </c>
      <c r="R7" s="335" t="s">
        <v>246</v>
      </c>
      <c r="S7" s="335" t="s">
        <v>215</v>
      </c>
      <c r="T7" s="318" t="s">
        <v>163</v>
      </c>
      <c r="U7" s="335" t="s">
        <v>163</v>
      </c>
      <c r="V7" s="335">
        <v>0</v>
      </c>
      <c r="W7" s="318" t="s">
        <v>163</v>
      </c>
      <c r="X7" s="335" t="s">
        <v>163</v>
      </c>
      <c r="Y7" s="335" t="s">
        <v>163</v>
      </c>
      <c r="Z7" s="335">
        <v>1</v>
      </c>
      <c r="AA7" s="335" t="s">
        <v>223</v>
      </c>
      <c r="AB7" s="335" t="s">
        <v>224</v>
      </c>
      <c r="AC7" s="335">
        <v>3</v>
      </c>
      <c r="AD7" s="335" t="s">
        <v>225</v>
      </c>
      <c r="AE7" s="342" t="s">
        <v>247</v>
      </c>
      <c r="AF7" s="318" t="s">
        <v>163</v>
      </c>
      <c r="AG7" s="335" t="s">
        <v>163</v>
      </c>
      <c r="AH7" s="335" t="s">
        <v>227</v>
      </c>
      <c r="AI7" s="335" t="s">
        <v>228</v>
      </c>
      <c r="AJ7" s="335" t="s">
        <v>163</v>
      </c>
      <c r="AK7" s="335" t="s">
        <v>163</v>
      </c>
      <c r="AL7" s="335" t="s">
        <v>163</v>
      </c>
      <c r="AM7" s="335" t="s">
        <v>163</v>
      </c>
      <c r="AN7" s="335" t="s">
        <v>163</v>
      </c>
      <c r="AO7" s="335" t="s">
        <v>163</v>
      </c>
      <c r="AP7" s="335" t="s">
        <v>163</v>
      </c>
      <c r="AQ7" s="335" t="s">
        <v>163</v>
      </c>
      <c r="AR7" s="335" t="s">
        <v>163</v>
      </c>
      <c r="AS7" s="335" t="s">
        <v>163</v>
      </c>
      <c r="AT7" s="335" t="s">
        <v>163</v>
      </c>
    </row>
    <row r="8" spans="1:47" s="57" customFormat="1" ht="45.75">
      <c r="A8" s="57" t="s">
        <v>8</v>
      </c>
      <c r="B8" s="57" t="s">
        <v>3</v>
      </c>
      <c r="C8" s="59">
        <v>5</v>
      </c>
      <c r="D8" s="77" t="s">
        <v>248</v>
      </c>
      <c r="E8" s="76"/>
      <c r="F8" s="57" t="s">
        <v>249</v>
      </c>
      <c r="L8" s="312" t="s">
        <v>250</v>
      </c>
      <c r="M8" s="282" t="s">
        <v>251</v>
      </c>
      <c r="N8" s="291" t="s">
        <v>219</v>
      </c>
      <c r="O8" s="291" t="s">
        <v>220</v>
      </c>
      <c r="P8" s="291" t="s">
        <v>214</v>
      </c>
      <c r="Q8" s="291" t="s">
        <v>221</v>
      </c>
      <c r="R8" s="279" t="s">
        <v>252</v>
      </c>
      <c r="S8" s="279" t="s">
        <v>215</v>
      </c>
      <c r="T8" s="291" t="s">
        <v>163</v>
      </c>
      <c r="U8" s="279" t="s">
        <v>163</v>
      </c>
      <c r="V8" s="279">
        <v>0</v>
      </c>
      <c r="W8" s="291" t="s">
        <v>163</v>
      </c>
      <c r="X8" s="279" t="s">
        <v>163</v>
      </c>
      <c r="Y8" s="279" t="s">
        <v>163</v>
      </c>
      <c r="Z8" s="279">
        <v>1</v>
      </c>
      <c r="AA8" s="279" t="s">
        <v>223</v>
      </c>
      <c r="AB8" s="279" t="s">
        <v>224</v>
      </c>
      <c r="AC8" s="279">
        <v>3</v>
      </c>
      <c r="AD8" s="279" t="s">
        <v>225</v>
      </c>
      <c r="AE8" s="280" t="s">
        <v>253</v>
      </c>
      <c r="AF8" s="291" t="s">
        <v>163</v>
      </c>
      <c r="AG8" s="279" t="s">
        <v>163</v>
      </c>
      <c r="AH8" s="279" t="s">
        <v>227</v>
      </c>
      <c r="AI8" s="279" t="s">
        <v>228</v>
      </c>
      <c r="AJ8" s="279" t="s">
        <v>163</v>
      </c>
      <c r="AK8" s="279" t="s">
        <v>163</v>
      </c>
      <c r="AL8" s="279" t="s">
        <v>163</v>
      </c>
      <c r="AM8" s="279" t="s">
        <v>163</v>
      </c>
      <c r="AN8" s="279" t="s">
        <v>163</v>
      </c>
      <c r="AO8" s="279" t="s">
        <v>163</v>
      </c>
      <c r="AP8" s="279" t="s">
        <v>163</v>
      </c>
      <c r="AQ8" s="279" t="s">
        <v>163</v>
      </c>
      <c r="AR8" s="279" t="s">
        <v>163</v>
      </c>
      <c r="AS8" s="279" t="s">
        <v>163</v>
      </c>
      <c r="AT8" s="279" t="s">
        <v>163</v>
      </c>
    </row>
    <row r="9" spans="1:47" s="57" customFormat="1" ht="30.75">
      <c r="A9" s="60" t="s">
        <v>9</v>
      </c>
      <c r="C9" s="59"/>
      <c r="D9" s="57" t="s">
        <v>254</v>
      </c>
      <c r="E9" s="75">
        <v>0.25</v>
      </c>
      <c r="L9" s="314" t="s">
        <v>237</v>
      </c>
      <c r="M9" s="317" t="s">
        <v>255</v>
      </c>
      <c r="N9" s="318" t="s">
        <v>213</v>
      </c>
      <c r="O9" s="318" t="s">
        <v>163</v>
      </c>
      <c r="P9" s="318" t="s">
        <v>214</v>
      </c>
      <c r="Q9" s="318" t="s">
        <v>163</v>
      </c>
      <c r="R9" s="335" t="s">
        <v>163</v>
      </c>
      <c r="S9" s="335" t="s">
        <v>215</v>
      </c>
      <c r="T9" s="318" t="s">
        <v>163</v>
      </c>
      <c r="U9" s="335" t="s">
        <v>163</v>
      </c>
      <c r="V9" s="335">
        <v>1</v>
      </c>
      <c r="W9" s="346">
        <v>0.25</v>
      </c>
      <c r="X9" s="335" t="s">
        <v>163</v>
      </c>
      <c r="Y9" s="335" t="s">
        <v>163</v>
      </c>
      <c r="Z9" s="335">
        <v>1</v>
      </c>
      <c r="AA9" s="335" t="s">
        <v>163</v>
      </c>
      <c r="AB9" s="335" t="s">
        <v>163</v>
      </c>
      <c r="AC9" s="335">
        <v>3</v>
      </c>
      <c r="AD9" s="335" t="s">
        <v>163</v>
      </c>
      <c r="AE9" s="342" t="s">
        <v>163</v>
      </c>
      <c r="AF9" s="318" t="s">
        <v>163</v>
      </c>
      <c r="AG9" s="335" t="s">
        <v>163</v>
      </c>
      <c r="AH9" s="335" t="s">
        <v>163</v>
      </c>
      <c r="AI9" s="335" t="s">
        <v>163</v>
      </c>
      <c r="AJ9" s="335" t="s">
        <v>163</v>
      </c>
      <c r="AK9" s="335" t="s">
        <v>163</v>
      </c>
      <c r="AL9" s="335" t="s">
        <v>163</v>
      </c>
      <c r="AM9" s="335" t="s">
        <v>163</v>
      </c>
      <c r="AN9" s="335" t="s">
        <v>163</v>
      </c>
      <c r="AO9" s="335" t="s">
        <v>163</v>
      </c>
      <c r="AP9" s="335" t="s">
        <v>163</v>
      </c>
      <c r="AQ9" s="335" t="s">
        <v>163</v>
      </c>
      <c r="AR9" s="335" t="s">
        <v>163</v>
      </c>
      <c r="AS9" s="335" t="s">
        <v>163</v>
      </c>
      <c r="AT9" s="335" t="s">
        <v>163</v>
      </c>
    </row>
    <row r="10" spans="1:47" s="57" customFormat="1" ht="45.75">
      <c r="A10" s="60" t="s">
        <v>10</v>
      </c>
      <c r="B10" s="57" t="s">
        <v>9</v>
      </c>
      <c r="C10" s="59">
        <v>1</v>
      </c>
      <c r="E10" s="76"/>
      <c r="F10" s="57" t="s">
        <v>256</v>
      </c>
      <c r="L10" s="314" t="s">
        <v>243</v>
      </c>
      <c r="M10" s="317" t="s">
        <v>257</v>
      </c>
      <c r="N10" s="318" t="s">
        <v>213</v>
      </c>
      <c r="O10" s="318" t="s">
        <v>163</v>
      </c>
      <c r="P10" s="318" t="s">
        <v>214</v>
      </c>
      <c r="Q10" s="318" t="s">
        <v>163</v>
      </c>
      <c r="R10" s="335" t="s">
        <v>163</v>
      </c>
      <c r="S10" s="335" t="s">
        <v>215</v>
      </c>
      <c r="T10" s="318" t="s">
        <v>163</v>
      </c>
      <c r="U10" s="335" t="s">
        <v>163</v>
      </c>
      <c r="V10" s="335">
        <v>1</v>
      </c>
      <c r="W10" s="346">
        <v>0.27083333333333331</v>
      </c>
      <c r="X10" s="335" t="s">
        <v>163</v>
      </c>
      <c r="Y10" s="335" t="s">
        <v>163</v>
      </c>
      <c r="Z10" s="335">
        <v>1</v>
      </c>
      <c r="AA10" s="335" t="s">
        <v>163</v>
      </c>
      <c r="AB10" s="335" t="s">
        <v>163</v>
      </c>
      <c r="AC10" s="335">
        <v>3</v>
      </c>
      <c r="AD10" s="335" t="s">
        <v>163</v>
      </c>
      <c r="AE10" s="342" t="s">
        <v>163</v>
      </c>
      <c r="AF10" s="318" t="s">
        <v>163</v>
      </c>
      <c r="AG10" s="335" t="s">
        <v>163</v>
      </c>
      <c r="AH10" s="335" t="s">
        <v>163</v>
      </c>
      <c r="AI10" s="335" t="s">
        <v>163</v>
      </c>
      <c r="AJ10" s="335" t="s">
        <v>163</v>
      </c>
      <c r="AK10" s="335" t="s">
        <v>163</v>
      </c>
      <c r="AL10" s="335" t="s">
        <v>163</v>
      </c>
      <c r="AM10" s="335" t="s">
        <v>163</v>
      </c>
      <c r="AN10" s="335" t="s">
        <v>163</v>
      </c>
      <c r="AO10" s="335" t="s">
        <v>163</v>
      </c>
      <c r="AP10" s="335" t="s">
        <v>163</v>
      </c>
      <c r="AQ10" s="335" t="s">
        <v>163</v>
      </c>
      <c r="AR10" s="335" t="s">
        <v>163</v>
      </c>
      <c r="AS10" s="335" t="s">
        <v>163</v>
      </c>
      <c r="AT10" s="335" t="s">
        <v>163</v>
      </c>
    </row>
    <row r="11" spans="1:47" s="57" customFormat="1" ht="30.75">
      <c r="A11" s="60" t="s">
        <v>11</v>
      </c>
      <c r="C11" s="59"/>
      <c r="D11" s="57" t="s">
        <v>258</v>
      </c>
      <c r="E11" s="75">
        <v>0.27083333333333331</v>
      </c>
      <c r="L11" s="314" t="s">
        <v>163</v>
      </c>
      <c r="M11" s="317" t="s">
        <v>259</v>
      </c>
      <c r="N11" s="318" t="s">
        <v>213</v>
      </c>
      <c r="O11" s="318" t="s">
        <v>163</v>
      </c>
      <c r="P11" s="318" t="s">
        <v>214</v>
      </c>
      <c r="Q11" s="318" t="s">
        <v>163</v>
      </c>
      <c r="R11" s="335" t="s">
        <v>163</v>
      </c>
      <c r="S11" s="335" t="s">
        <v>215</v>
      </c>
      <c r="T11" s="318" t="s">
        <v>163</v>
      </c>
      <c r="U11" s="335" t="s">
        <v>163</v>
      </c>
      <c r="V11" s="335">
        <v>0</v>
      </c>
      <c r="W11" s="318" t="s">
        <v>163</v>
      </c>
      <c r="X11" s="335" t="s">
        <v>163</v>
      </c>
      <c r="Y11" s="335" t="s">
        <v>163</v>
      </c>
      <c r="Z11" s="335">
        <v>1</v>
      </c>
      <c r="AA11" s="335" t="s">
        <v>163</v>
      </c>
      <c r="AB11" s="335" t="s">
        <v>163</v>
      </c>
      <c r="AC11" s="335">
        <v>3</v>
      </c>
      <c r="AD11" s="335" t="s">
        <v>163</v>
      </c>
      <c r="AE11" s="342" t="s">
        <v>163</v>
      </c>
      <c r="AF11" s="318" t="s">
        <v>163</v>
      </c>
      <c r="AG11" s="335" t="s">
        <v>163</v>
      </c>
      <c r="AH11" s="335" t="s">
        <v>163</v>
      </c>
      <c r="AI11" s="335" t="s">
        <v>163</v>
      </c>
      <c r="AJ11" s="335" t="s">
        <v>163</v>
      </c>
      <c r="AK11" s="335" t="s">
        <v>163</v>
      </c>
      <c r="AL11" s="335" t="s">
        <v>163</v>
      </c>
      <c r="AM11" s="335" t="s">
        <v>163</v>
      </c>
      <c r="AN11" s="335" t="s">
        <v>163</v>
      </c>
      <c r="AO11" s="335" t="s">
        <v>163</v>
      </c>
      <c r="AP11" s="335" t="s">
        <v>163</v>
      </c>
      <c r="AQ11" s="335" t="s">
        <v>163</v>
      </c>
      <c r="AR11" s="335" t="s">
        <v>163</v>
      </c>
      <c r="AS11" s="335" t="s">
        <v>163</v>
      </c>
      <c r="AT11" s="335" t="s">
        <v>163</v>
      </c>
    </row>
    <row r="12" spans="1:47" s="57" customFormat="1" ht="30.75">
      <c r="A12" s="60" t="s">
        <v>12</v>
      </c>
      <c r="B12" s="57" t="s">
        <v>11</v>
      </c>
      <c r="C12" s="59">
        <v>1</v>
      </c>
      <c r="E12" s="76"/>
      <c r="F12" s="57" t="s">
        <v>260</v>
      </c>
      <c r="L12" s="312" t="s">
        <v>261</v>
      </c>
      <c r="M12" s="282" t="s">
        <v>262</v>
      </c>
      <c r="N12" s="291" t="s">
        <v>219</v>
      </c>
      <c r="O12" s="291" t="s">
        <v>263</v>
      </c>
      <c r="P12" s="291" t="s">
        <v>214</v>
      </c>
      <c r="Q12" s="291" t="s">
        <v>221</v>
      </c>
      <c r="R12" s="279" t="s">
        <v>264</v>
      </c>
      <c r="S12" s="279" t="s">
        <v>215</v>
      </c>
      <c r="T12" s="291" t="s">
        <v>163</v>
      </c>
      <c r="U12" s="279" t="s">
        <v>163</v>
      </c>
      <c r="V12" s="279">
        <v>0</v>
      </c>
      <c r="W12" s="291" t="s">
        <v>163</v>
      </c>
      <c r="X12" s="279" t="s">
        <v>163</v>
      </c>
      <c r="Y12" s="279" t="s">
        <v>163</v>
      </c>
      <c r="Z12" s="279">
        <v>1</v>
      </c>
      <c r="AA12" s="279" t="s">
        <v>223</v>
      </c>
      <c r="AB12" s="279" t="s">
        <v>224</v>
      </c>
      <c r="AC12" s="279">
        <v>3</v>
      </c>
      <c r="AD12" s="279" t="s">
        <v>225</v>
      </c>
      <c r="AE12" s="280" t="s">
        <v>265</v>
      </c>
      <c r="AF12" s="291" t="s">
        <v>163</v>
      </c>
      <c r="AG12" s="279" t="s">
        <v>163</v>
      </c>
      <c r="AH12" s="279" t="s">
        <v>227</v>
      </c>
      <c r="AI12" s="279" t="s">
        <v>228</v>
      </c>
      <c r="AJ12" s="279" t="s">
        <v>163</v>
      </c>
      <c r="AK12" s="279" t="s">
        <v>163</v>
      </c>
      <c r="AL12" s="279" t="s">
        <v>163</v>
      </c>
      <c r="AM12" s="279" t="s">
        <v>163</v>
      </c>
      <c r="AN12" s="279" t="s">
        <v>163</v>
      </c>
      <c r="AO12" s="279" t="s">
        <v>163</v>
      </c>
      <c r="AP12" s="279" t="s">
        <v>163</v>
      </c>
      <c r="AQ12" s="279" t="s">
        <v>163</v>
      </c>
      <c r="AR12" s="279" t="s">
        <v>163</v>
      </c>
      <c r="AS12" s="279" t="s">
        <v>163</v>
      </c>
      <c r="AT12" s="279" t="s">
        <v>163</v>
      </c>
    </row>
    <row r="13" spans="1:47" ht="45.75">
      <c r="A13" s="60" t="s">
        <v>13</v>
      </c>
      <c r="B13" s="60"/>
      <c r="C13" s="61"/>
      <c r="D13" s="5" t="s">
        <v>266</v>
      </c>
      <c r="L13" s="312" t="s">
        <v>267</v>
      </c>
      <c r="M13" s="282" t="s">
        <v>268</v>
      </c>
      <c r="N13" s="291" t="s">
        <v>219</v>
      </c>
      <c r="O13" s="291" t="s">
        <v>263</v>
      </c>
      <c r="P13" s="291" t="s">
        <v>214</v>
      </c>
      <c r="Q13" s="291" t="s">
        <v>221</v>
      </c>
      <c r="R13" s="279" t="s">
        <v>269</v>
      </c>
      <c r="S13" s="279" t="s">
        <v>215</v>
      </c>
      <c r="T13" s="291" t="s">
        <v>163</v>
      </c>
      <c r="U13" s="279" t="s">
        <v>163</v>
      </c>
      <c r="V13" s="279">
        <v>0</v>
      </c>
      <c r="W13" s="291" t="s">
        <v>163</v>
      </c>
      <c r="X13" s="279" t="s">
        <v>163</v>
      </c>
      <c r="Y13" s="279" t="s">
        <v>163</v>
      </c>
      <c r="Z13" s="279">
        <v>1</v>
      </c>
      <c r="AA13" s="279" t="s">
        <v>223</v>
      </c>
      <c r="AB13" s="279" t="s">
        <v>224</v>
      </c>
      <c r="AC13" s="279">
        <v>3</v>
      </c>
      <c r="AD13" s="279" t="s">
        <v>225</v>
      </c>
      <c r="AE13" s="280" t="s">
        <v>270</v>
      </c>
      <c r="AF13" s="291" t="s">
        <v>163</v>
      </c>
      <c r="AG13" s="279" t="s">
        <v>163</v>
      </c>
      <c r="AH13" s="279" t="s">
        <v>227</v>
      </c>
      <c r="AI13" s="279" t="s">
        <v>228</v>
      </c>
      <c r="AJ13" s="279" t="s">
        <v>163</v>
      </c>
      <c r="AK13" s="279" t="s">
        <v>163</v>
      </c>
      <c r="AL13" s="279" t="s">
        <v>163</v>
      </c>
      <c r="AM13" s="279" t="s">
        <v>163</v>
      </c>
      <c r="AN13" s="279" t="s">
        <v>163</v>
      </c>
      <c r="AO13" s="279" t="s">
        <v>163</v>
      </c>
      <c r="AP13" s="279" t="s">
        <v>163</v>
      </c>
      <c r="AQ13" s="279" t="s">
        <v>163</v>
      </c>
      <c r="AR13" s="279" t="s">
        <v>163</v>
      </c>
      <c r="AS13" s="279" t="s">
        <v>163</v>
      </c>
      <c r="AT13" s="279" t="s">
        <v>163</v>
      </c>
    </row>
    <row r="14" spans="1:47" ht="45.75">
      <c r="A14" s="57" t="s">
        <v>14</v>
      </c>
      <c r="B14" s="57" t="s">
        <v>13</v>
      </c>
      <c r="C14" s="59">
        <v>1</v>
      </c>
      <c r="F14" s="5" t="s">
        <v>271</v>
      </c>
      <c r="L14" s="312" t="s">
        <v>272</v>
      </c>
      <c r="M14" s="282" t="s">
        <v>273</v>
      </c>
      <c r="N14" s="291" t="s">
        <v>219</v>
      </c>
      <c r="O14" s="291" t="s">
        <v>263</v>
      </c>
      <c r="P14" s="291" t="s">
        <v>214</v>
      </c>
      <c r="Q14" s="291" t="s">
        <v>221</v>
      </c>
      <c r="R14" s="279" t="s">
        <v>274</v>
      </c>
      <c r="S14" s="279" t="s">
        <v>215</v>
      </c>
      <c r="T14" s="291" t="s">
        <v>163</v>
      </c>
      <c r="U14" s="279" t="s">
        <v>163</v>
      </c>
      <c r="V14" s="279">
        <v>0</v>
      </c>
      <c r="W14" s="291" t="s">
        <v>163</v>
      </c>
      <c r="X14" s="279" t="s">
        <v>163</v>
      </c>
      <c r="Y14" s="279" t="s">
        <v>163</v>
      </c>
      <c r="Z14" s="279">
        <v>1</v>
      </c>
      <c r="AA14" s="279" t="s">
        <v>223</v>
      </c>
      <c r="AB14" s="279" t="s">
        <v>224</v>
      </c>
      <c r="AC14" s="279">
        <v>3</v>
      </c>
      <c r="AD14" s="279" t="s">
        <v>225</v>
      </c>
      <c r="AE14" s="280" t="s">
        <v>275</v>
      </c>
      <c r="AF14" s="291" t="s">
        <v>163</v>
      </c>
      <c r="AG14" s="279" t="s">
        <v>163</v>
      </c>
      <c r="AH14" s="279" t="s">
        <v>227</v>
      </c>
      <c r="AI14" s="279" t="s">
        <v>228</v>
      </c>
      <c r="AJ14" s="279" t="s">
        <v>163</v>
      </c>
      <c r="AK14" s="279" t="s">
        <v>163</v>
      </c>
      <c r="AL14" s="279" t="s">
        <v>163</v>
      </c>
      <c r="AM14" s="279" t="s">
        <v>163</v>
      </c>
      <c r="AN14" s="279" t="s">
        <v>163</v>
      </c>
      <c r="AO14" s="279" t="s">
        <v>163</v>
      </c>
      <c r="AP14" s="279" t="s">
        <v>163</v>
      </c>
      <c r="AQ14" s="279" t="s">
        <v>163</v>
      </c>
      <c r="AR14" s="279" t="s">
        <v>163</v>
      </c>
      <c r="AS14" s="279" t="s">
        <v>163</v>
      </c>
      <c r="AT14" s="279" t="s">
        <v>163</v>
      </c>
    </row>
    <row r="15" spans="1:47" ht="45.75">
      <c r="A15" s="57" t="s">
        <v>15</v>
      </c>
      <c r="B15" s="57" t="s">
        <v>13</v>
      </c>
      <c r="C15" s="59">
        <v>2</v>
      </c>
      <c r="D15" s="79" t="s">
        <v>276</v>
      </c>
      <c r="F15" s="5" t="s">
        <v>277</v>
      </c>
      <c r="L15" s="312" t="s">
        <v>278</v>
      </c>
      <c r="M15" s="282" t="s">
        <v>279</v>
      </c>
      <c r="N15" s="291" t="s">
        <v>219</v>
      </c>
      <c r="O15" s="291" t="s">
        <v>263</v>
      </c>
      <c r="P15" s="291" t="s">
        <v>214</v>
      </c>
      <c r="Q15" s="291" t="s">
        <v>221</v>
      </c>
      <c r="R15" s="279" t="s">
        <v>280</v>
      </c>
      <c r="S15" s="279" t="s">
        <v>215</v>
      </c>
      <c r="T15" s="291" t="s">
        <v>163</v>
      </c>
      <c r="U15" s="279" t="s">
        <v>163</v>
      </c>
      <c r="V15" s="279">
        <v>0</v>
      </c>
      <c r="W15" s="291" t="s">
        <v>163</v>
      </c>
      <c r="X15" s="279" t="s">
        <v>163</v>
      </c>
      <c r="Y15" s="279" t="s">
        <v>163</v>
      </c>
      <c r="Z15" s="279">
        <v>1</v>
      </c>
      <c r="AA15" s="279" t="s">
        <v>223</v>
      </c>
      <c r="AB15" s="279" t="s">
        <v>224</v>
      </c>
      <c r="AC15" s="279">
        <v>3</v>
      </c>
      <c r="AD15" s="279" t="s">
        <v>225</v>
      </c>
      <c r="AE15" s="280" t="s">
        <v>281</v>
      </c>
      <c r="AF15" s="291" t="s">
        <v>163</v>
      </c>
      <c r="AG15" s="279" t="s">
        <v>163</v>
      </c>
      <c r="AH15" s="279" t="s">
        <v>227</v>
      </c>
      <c r="AI15" s="279" t="s">
        <v>228</v>
      </c>
      <c r="AJ15" s="279" t="s">
        <v>163</v>
      </c>
      <c r="AK15" s="279" t="s">
        <v>163</v>
      </c>
      <c r="AL15" s="279" t="s">
        <v>163</v>
      </c>
      <c r="AM15" s="279" t="s">
        <v>163</v>
      </c>
      <c r="AN15" s="279" t="s">
        <v>163</v>
      </c>
      <c r="AO15" s="279" t="s">
        <v>163</v>
      </c>
      <c r="AP15" s="279" t="s">
        <v>163</v>
      </c>
      <c r="AQ15" s="279" t="s">
        <v>163</v>
      </c>
      <c r="AR15" s="279" t="s">
        <v>163</v>
      </c>
      <c r="AS15" s="279" t="s">
        <v>163</v>
      </c>
      <c r="AT15" s="279" t="s">
        <v>163</v>
      </c>
    </row>
    <row r="16" spans="1:47" ht="45.75">
      <c r="A16" s="57" t="s">
        <v>16</v>
      </c>
      <c r="B16" s="57" t="s">
        <v>13</v>
      </c>
      <c r="C16" s="59">
        <v>3</v>
      </c>
      <c r="D16" s="5" t="s">
        <v>282</v>
      </c>
      <c r="F16" s="5" t="s">
        <v>283</v>
      </c>
      <c r="L16" s="312" t="s">
        <v>284</v>
      </c>
      <c r="M16" s="282" t="s">
        <v>285</v>
      </c>
      <c r="N16" s="291" t="s">
        <v>286</v>
      </c>
      <c r="O16" s="291" t="s">
        <v>263</v>
      </c>
      <c r="P16" s="321" t="s">
        <v>287</v>
      </c>
      <c r="Q16" s="291" t="s">
        <v>288</v>
      </c>
      <c r="R16" s="279" t="s">
        <v>163</v>
      </c>
      <c r="S16" s="279" t="s">
        <v>215</v>
      </c>
      <c r="T16" s="291" t="s">
        <v>163</v>
      </c>
      <c r="U16" s="279" t="s">
        <v>163</v>
      </c>
      <c r="V16" s="279">
        <v>0</v>
      </c>
      <c r="W16" s="291" t="s">
        <v>163</v>
      </c>
      <c r="X16" s="279" t="s">
        <v>163</v>
      </c>
      <c r="Y16" s="279" t="s">
        <v>163</v>
      </c>
      <c r="Z16" s="279">
        <v>1</v>
      </c>
      <c r="AA16" s="279" t="s">
        <v>163</v>
      </c>
      <c r="AB16" s="279" t="s">
        <v>224</v>
      </c>
      <c r="AC16" s="279">
        <v>3</v>
      </c>
      <c r="AD16" s="279" t="s">
        <v>225</v>
      </c>
      <c r="AE16" s="280" t="s">
        <v>289</v>
      </c>
      <c r="AF16" s="291" t="s">
        <v>163</v>
      </c>
      <c r="AG16" s="279" t="s">
        <v>163</v>
      </c>
      <c r="AH16" s="279" t="s">
        <v>163</v>
      </c>
      <c r="AI16" s="279" t="s">
        <v>163</v>
      </c>
      <c r="AJ16" s="279" t="s">
        <v>290</v>
      </c>
      <c r="AK16" s="279" t="s">
        <v>291</v>
      </c>
      <c r="AL16" s="279" t="s">
        <v>292</v>
      </c>
      <c r="AM16" s="279" t="s">
        <v>293</v>
      </c>
      <c r="AN16" s="279" t="s">
        <v>294</v>
      </c>
      <c r="AO16" s="279">
        <v>0</v>
      </c>
      <c r="AP16" s="279" t="s">
        <v>214</v>
      </c>
      <c r="AQ16" s="279" t="s">
        <v>295</v>
      </c>
      <c r="AR16" s="279" t="s">
        <v>163</v>
      </c>
      <c r="AS16" s="279" t="s">
        <v>163</v>
      </c>
      <c r="AT16" s="279" t="s">
        <v>163</v>
      </c>
    </row>
    <row r="17" spans="1:46" ht="45.75">
      <c r="A17" s="57" t="s">
        <v>17</v>
      </c>
      <c r="B17" s="57" t="s">
        <v>13</v>
      </c>
      <c r="C17" s="59">
        <v>4</v>
      </c>
      <c r="D17" s="5" t="s">
        <v>296</v>
      </c>
      <c r="F17" s="5" t="s">
        <v>297</v>
      </c>
      <c r="L17" s="312" t="s">
        <v>284</v>
      </c>
      <c r="M17" s="282" t="s">
        <v>298</v>
      </c>
      <c r="N17" s="291" t="s">
        <v>286</v>
      </c>
      <c r="O17" s="291" t="s">
        <v>263</v>
      </c>
      <c r="P17" s="321" t="s">
        <v>287</v>
      </c>
      <c r="Q17" s="291" t="s">
        <v>288</v>
      </c>
      <c r="R17" s="279" t="s">
        <v>163</v>
      </c>
      <c r="S17" s="279" t="s">
        <v>215</v>
      </c>
      <c r="T17" s="291" t="s">
        <v>163</v>
      </c>
      <c r="U17" s="279" t="s">
        <v>163</v>
      </c>
      <c r="V17" s="279">
        <v>0</v>
      </c>
      <c r="W17" s="291" t="s">
        <v>163</v>
      </c>
      <c r="X17" s="279" t="s">
        <v>163</v>
      </c>
      <c r="Y17" s="279" t="s">
        <v>163</v>
      </c>
      <c r="Z17" s="279">
        <v>1</v>
      </c>
      <c r="AA17" s="279" t="s">
        <v>163</v>
      </c>
      <c r="AB17" s="279" t="s">
        <v>224</v>
      </c>
      <c r="AC17" s="279">
        <v>3</v>
      </c>
      <c r="AD17" s="279" t="s">
        <v>225</v>
      </c>
      <c r="AE17" s="280" t="s">
        <v>299</v>
      </c>
      <c r="AF17" s="291" t="s">
        <v>163</v>
      </c>
      <c r="AG17" s="279" t="s">
        <v>163</v>
      </c>
      <c r="AH17" s="279" t="s">
        <v>163</v>
      </c>
      <c r="AI17" s="279" t="s">
        <v>163</v>
      </c>
      <c r="AJ17" s="279" t="s">
        <v>290</v>
      </c>
      <c r="AK17" s="279" t="s">
        <v>291</v>
      </c>
      <c r="AL17" s="279" t="s">
        <v>300</v>
      </c>
      <c r="AM17" s="279" t="s">
        <v>301</v>
      </c>
      <c r="AN17" s="279" t="s">
        <v>294</v>
      </c>
      <c r="AO17" s="279">
        <v>0</v>
      </c>
      <c r="AP17" s="279" t="s">
        <v>214</v>
      </c>
      <c r="AQ17" s="279" t="s">
        <v>295</v>
      </c>
      <c r="AR17" s="279" t="s">
        <v>163</v>
      </c>
      <c r="AS17" s="279" t="s">
        <v>163</v>
      </c>
      <c r="AT17" s="279" t="s">
        <v>163</v>
      </c>
    </row>
    <row r="18" spans="1:46" ht="45.75">
      <c r="A18" s="57" t="s">
        <v>18</v>
      </c>
      <c r="B18" s="57" t="s">
        <v>13</v>
      </c>
      <c r="C18" s="59">
        <v>5</v>
      </c>
      <c r="D18" s="5" t="s">
        <v>302</v>
      </c>
      <c r="L18" s="312" t="s">
        <v>284</v>
      </c>
      <c r="M18" s="282" t="s">
        <v>303</v>
      </c>
      <c r="N18" s="291" t="s">
        <v>286</v>
      </c>
      <c r="O18" s="291" t="s">
        <v>263</v>
      </c>
      <c r="P18" s="321" t="s">
        <v>287</v>
      </c>
      <c r="Q18" s="291" t="s">
        <v>288</v>
      </c>
      <c r="R18" s="310" t="s">
        <v>163</v>
      </c>
      <c r="S18" s="279" t="s">
        <v>215</v>
      </c>
      <c r="T18" s="291" t="s">
        <v>163</v>
      </c>
      <c r="U18" s="279" t="s">
        <v>163</v>
      </c>
      <c r="V18" s="279">
        <v>0</v>
      </c>
      <c r="W18" s="291" t="s">
        <v>163</v>
      </c>
      <c r="X18" s="279" t="s">
        <v>163</v>
      </c>
      <c r="Y18" s="279" t="s">
        <v>163</v>
      </c>
      <c r="Z18" s="279">
        <v>1</v>
      </c>
      <c r="AA18" s="279" t="s">
        <v>163</v>
      </c>
      <c r="AB18" s="279" t="s">
        <v>224</v>
      </c>
      <c r="AC18" s="279">
        <v>3</v>
      </c>
      <c r="AD18" s="279" t="s">
        <v>225</v>
      </c>
      <c r="AE18" s="280" t="s">
        <v>304</v>
      </c>
      <c r="AF18" s="291" t="s">
        <v>163</v>
      </c>
      <c r="AG18" s="279" t="s">
        <v>163</v>
      </c>
      <c r="AH18" s="279" t="s">
        <v>163</v>
      </c>
      <c r="AI18" s="279" t="s">
        <v>163</v>
      </c>
      <c r="AJ18" s="279" t="s">
        <v>290</v>
      </c>
      <c r="AK18" s="279" t="s">
        <v>291</v>
      </c>
      <c r="AL18" s="279" t="s">
        <v>305</v>
      </c>
      <c r="AM18" s="279" t="s">
        <v>306</v>
      </c>
      <c r="AN18" s="279" t="s">
        <v>294</v>
      </c>
      <c r="AO18" s="279">
        <v>0</v>
      </c>
      <c r="AP18" s="279" t="s">
        <v>214</v>
      </c>
      <c r="AQ18" s="279" t="s">
        <v>295</v>
      </c>
      <c r="AR18" s="279" t="s">
        <v>163</v>
      </c>
      <c r="AS18" s="279" t="s">
        <v>163</v>
      </c>
      <c r="AT18" s="279" t="s">
        <v>163</v>
      </c>
    </row>
    <row r="19" spans="1:46" ht="45.75">
      <c r="A19" s="57" t="s">
        <v>19</v>
      </c>
      <c r="B19" s="57" t="s">
        <v>13</v>
      </c>
      <c r="C19" s="59">
        <v>6</v>
      </c>
      <c r="D19" s="5" t="s">
        <v>307</v>
      </c>
      <c r="L19" s="312" t="s">
        <v>284</v>
      </c>
      <c r="M19" s="282" t="s">
        <v>308</v>
      </c>
      <c r="N19" s="291" t="s">
        <v>286</v>
      </c>
      <c r="O19" s="291" t="s">
        <v>263</v>
      </c>
      <c r="P19" s="321" t="s">
        <v>287</v>
      </c>
      <c r="Q19" s="291" t="s">
        <v>288</v>
      </c>
      <c r="R19" s="310" t="s">
        <v>163</v>
      </c>
      <c r="S19" s="279" t="s">
        <v>215</v>
      </c>
      <c r="T19" s="291" t="s">
        <v>163</v>
      </c>
      <c r="U19" s="279" t="s">
        <v>163</v>
      </c>
      <c r="V19" s="279">
        <v>0</v>
      </c>
      <c r="W19" s="291" t="s">
        <v>163</v>
      </c>
      <c r="X19" s="279" t="s">
        <v>163</v>
      </c>
      <c r="Y19" s="279" t="s">
        <v>163</v>
      </c>
      <c r="Z19" s="279">
        <v>1</v>
      </c>
      <c r="AA19" s="279" t="s">
        <v>163</v>
      </c>
      <c r="AB19" s="279" t="s">
        <v>224</v>
      </c>
      <c r="AC19" s="279">
        <v>3</v>
      </c>
      <c r="AD19" s="279" t="s">
        <v>225</v>
      </c>
      <c r="AE19" s="280" t="s">
        <v>309</v>
      </c>
      <c r="AF19" s="291" t="s">
        <v>163</v>
      </c>
      <c r="AG19" s="279" t="s">
        <v>163</v>
      </c>
      <c r="AH19" s="279" t="s">
        <v>163</v>
      </c>
      <c r="AI19" s="279" t="s">
        <v>163</v>
      </c>
      <c r="AJ19" s="279" t="s">
        <v>290</v>
      </c>
      <c r="AK19" s="279" t="s">
        <v>291</v>
      </c>
      <c r="AL19" s="279" t="s">
        <v>310</v>
      </c>
      <c r="AM19" s="279" t="s">
        <v>311</v>
      </c>
      <c r="AN19" s="279" t="s">
        <v>294</v>
      </c>
      <c r="AO19" s="279">
        <v>0</v>
      </c>
      <c r="AP19" s="279" t="s">
        <v>214</v>
      </c>
      <c r="AQ19" s="279" t="s">
        <v>295</v>
      </c>
      <c r="AR19" s="279" t="s">
        <v>163</v>
      </c>
      <c r="AS19" s="279" t="s">
        <v>163</v>
      </c>
      <c r="AT19" s="279" t="s">
        <v>163</v>
      </c>
    </row>
    <row r="20" spans="1:46" ht="60.75">
      <c r="A20" s="57" t="s">
        <v>20</v>
      </c>
      <c r="B20" s="57" t="s">
        <v>13</v>
      </c>
      <c r="C20" s="59">
        <v>7</v>
      </c>
      <c r="D20" s="5" t="s">
        <v>312</v>
      </c>
      <c r="L20" s="312" t="s">
        <v>313</v>
      </c>
      <c r="M20" s="282" t="s">
        <v>314</v>
      </c>
      <c r="N20" s="291" t="s">
        <v>315</v>
      </c>
      <c r="O20" s="291" t="s">
        <v>263</v>
      </c>
      <c r="P20" s="291" t="s">
        <v>316</v>
      </c>
      <c r="Q20" s="291" t="s">
        <v>317</v>
      </c>
      <c r="R20" s="279" t="s">
        <v>163</v>
      </c>
      <c r="S20" s="279" t="s">
        <v>163</v>
      </c>
      <c r="T20" s="291" t="s">
        <v>318</v>
      </c>
      <c r="U20" s="335" t="s">
        <v>319</v>
      </c>
      <c r="V20" s="279">
        <v>0</v>
      </c>
      <c r="W20" s="291" t="s">
        <v>163</v>
      </c>
      <c r="X20" s="279" t="s">
        <v>163</v>
      </c>
      <c r="Y20" s="279" t="s">
        <v>163</v>
      </c>
      <c r="Z20" s="279">
        <v>1</v>
      </c>
      <c r="AA20" s="279" t="s">
        <v>163</v>
      </c>
      <c r="AB20" s="279" t="s">
        <v>224</v>
      </c>
      <c r="AC20" s="279" t="s">
        <v>163</v>
      </c>
      <c r="AD20" s="279" t="s">
        <v>320</v>
      </c>
      <c r="AE20" s="280" t="s">
        <v>321</v>
      </c>
      <c r="AF20" s="291" t="s">
        <v>322</v>
      </c>
      <c r="AG20" s="279" t="s">
        <v>163</v>
      </c>
      <c r="AH20" s="279" t="s">
        <v>163</v>
      </c>
      <c r="AI20" s="279" t="s">
        <v>163</v>
      </c>
      <c r="AJ20" s="279" t="s">
        <v>163</v>
      </c>
      <c r="AK20" s="279" t="s">
        <v>163</v>
      </c>
      <c r="AL20" s="279" t="s">
        <v>163</v>
      </c>
      <c r="AM20" s="279" t="s">
        <v>163</v>
      </c>
      <c r="AN20" s="279" t="s">
        <v>163</v>
      </c>
      <c r="AO20" s="279" t="s">
        <v>163</v>
      </c>
      <c r="AP20" s="279" t="s">
        <v>163</v>
      </c>
      <c r="AQ20" s="279" t="s">
        <v>163</v>
      </c>
      <c r="AR20" s="279" t="s">
        <v>163</v>
      </c>
      <c r="AS20" s="279" t="s">
        <v>163</v>
      </c>
      <c r="AT20" s="279" t="s">
        <v>163</v>
      </c>
    </row>
    <row r="21" spans="1:46" ht="106.5">
      <c r="A21" s="57" t="s">
        <v>21</v>
      </c>
      <c r="B21" s="57" t="s">
        <v>13</v>
      </c>
      <c r="C21" s="59">
        <v>8</v>
      </c>
      <c r="D21" s="5" t="s">
        <v>307</v>
      </c>
      <c r="L21" s="312" t="s">
        <v>163</v>
      </c>
      <c r="M21" s="282" t="s">
        <v>323</v>
      </c>
      <c r="N21" s="291" t="s">
        <v>219</v>
      </c>
      <c r="O21" s="291" t="s">
        <v>263</v>
      </c>
      <c r="P21" s="291" t="s">
        <v>214</v>
      </c>
      <c r="Q21" s="291" t="s">
        <v>221</v>
      </c>
      <c r="R21" s="279" t="s">
        <v>324</v>
      </c>
      <c r="S21" s="279" t="s">
        <v>215</v>
      </c>
      <c r="T21" s="291" t="s">
        <v>163</v>
      </c>
      <c r="U21" s="279" t="s">
        <v>163</v>
      </c>
      <c r="V21" s="279">
        <v>0</v>
      </c>
      <c r="W21" s="291" t="s">
        <v>163</v>
      </c>
      <c r="X21" s="279" t="s">
        <v>163</v>
      </c>
      <c r="Y21" s="279" t="s">
        <v>163</v>
      </c>
      <c r="Z21" s="279">
        <v>1</v>
      </c>
      <c r="AA21" s="279" t="s">
        <v>223</v>
      </c>
      <c r="AB21" s="279" t="s">
        <v>224</v>
      </c>
      <c r="AC21" s="279">
        <v>3</v>
      </c>
      <c r="AD21" s="279" t="s">
        <v>225</v>
      </c>
      <c r="AE21" s="280" t="s">
        <v>325</v>
      </c>
      <c r="AF21" s="291" t="s">
        <v>163</v>
      </c>
      <c r="AG21" s="279" t="s">
        <v>163</v>
      </c>
      <c r="AH21" s="279" t="s">
        <v>227</v>
      </c>
      <c r="AI21" s="279" t="s">
        <v>228</v>
      </c>
      <c r="AJ21" s="279" t="s">
        <v>163</v>
      </c>
      <c r="AK21" s="279" t="s">
        <v>163</v>
      </c>
      <c r="AL21" s="279" t="s">
        <v>163</v>
      </c>
      <c r="AM21" s="279" t="s">
        <v>163</v>
      </c>
      <c r="AN21" s="279" t="s">
        <v>163</v>
      </c>
      <c r="AO21" s="279" t="s">
        <v>163</v>
      </c>
      <c r="AP21" s="279" t="s">
        <v>163</v>
      </c>
      <c r="AQ21" s="279" t="s">
        <v>163</v>
      </c>
      <c r="AR21" s="279" t="s">
        <v>163</v>
      </c>
      <c r="AS21" s="279" t="s">
        <v>163</v>
      </c>
      <c r="AT21" s="279" t="s">
        <v>163</v>
      </c>
    </row>
    <row r="22" spans="1:46" ht="106.5">
      <c r="A22" s="57" t="s">
        <v>22</v>
      </c>
      <c r="B22" s="57" t="s">
        <v>13</v>
      </c>
      <c r="C22" s="59">
        <v>9</v>
      </c>
      <c r="D22" s="5" t="s">
        <v>326</v>
      </c>
      <c r="F22" s="5" t="s">
        <v>327</v>
      </c>
      <c r="L22" s="312" t="s">
        <v>313</v>
      </c>
      <c r="M22" s="324" t="s">
        <v>328</v>
      </c>
      <c r="N22" s="316" t="s">
        <v>315</v>
      </c>
      <c r="O22" s="316" t="s">
        <v>263</v>
      </c>
      <c r="P22" s="316" t="s">
        <v>316</v>
      </c>
      <c r="Q22" s="316" t="s">
        <v>317</v>
      </c>
      <c r="R22" s="336" t="s">
        <v>163</v>
      </c>
      <c r="S22" s="336" t="s">
        <v>163</v>
      </c>
      <c r="T22" s="316" t="s">
        <v>329</v>
      </c>
      <c r="U22" s="340" t="s">
        <v>330</v>
      </c>
      <c r="V22" s="336">
        <v>0</v>
      </c>
      <c r="W22" s="316" t="s">
        <v>163</v>
      </c>
      <c r="X22" s="336" t="s">
        <v>163</v>
      </c>
      <c r="Y22" s="336" t="s">
        <v>163</v>
      </c>
      <c r="Z22" s="336">
        <v>1</v>
      </c>
      <c r="AA22" s="336" t="s">
        <v>163</v>
      </c>
      <c r="AB22" s="336" t="s">
        <v>224</v>
      </c>
      <c r="AC22" s="336" t="s">
        <v>163</v>
      </c>
      <c r="AD22" s="336" t="s">
        <v>320</v>
      </c>
      <c r="AE22" s="347" t="s">
        <v>331</v>
      </c>
      <c r="AF22" s="316" t="s">
        <v>332</v>
      </c>
      <c r="AG22" s="336" t="s">
        <v>163</v>
      </c>
      <c r="AH22" s="336" t="s">
        <v>163</v>
      </c>
      <c r="AI22" s="336" t="s">
        <v>163</v>
      </c>
      <c r="AJ22" s="336" t="s">
        <v>163</v>
      </c>
      <c r="AK22" s="336" t="s">
        <v>163</v>
      </c>
      <c r="AL22" s="336" t="s">
        <v>163</v>
      </c>
      <c r="AM22" s="336" t="s">
        <v>163</v>
      </c>
      <c r="AN22" s="336" t="s">
        <v>163</v>
      </c>
      <c r="AO22" s="336" t="s">
        <v>163</v>
      </c>
      <c r="AP22" s="336" t="s">
        <v>163</v>
      </c>
      <c r="AQ22" s="336" t="s">
        <v>163</v>
      </c>
      <c r="AR22" s="336" t="s">
        <v>163</v>
      </c>
      <c r="AS22" s="336" t="s">
        <v>163</v>
      </c>
      <c r="AT22" s="336" t="s">
        <v>163</v>
      </c>
    </row>
    <row r="23" spans="1:46" ht="76.5">
      <c r="A23" s="57" t="s">
        <v>23</v>
      </c>
      <c r="B23" s="57" t="s">
        <v>13</v>
      </c>
      <c r="C23" s="59">
        <v>10</v>
      </c>
      <c r="D23" s="5" t="s">
        <v>333</v>
      </c>
      <c r="F23" s="5" t="s">
        <v>334</v>
      </c>
      <c r="L23" s="312" t="s">
        <v>313</v>
      </c>
      <c r="M23" s="282" t="s">
        <v>335</v>
      </c>
      <c r="N23" s="291" t="s">
        <v>315</v>
      </c>
      <c r="O23" s="291" t="s">
        <v>263</v>
      </c>
      <c r="P23" s="291" t="s">
        <v>316</v>
      </c>
      <c r="Q23" s="291" t="s">
        <v>317</v>
      </c>
      <c r="R23" s="279" t="s">
        <v>163</v>
      </c>
      <c r="S23" s="279" t="s">
        <v>163</v>
      </c>
      <c r="T23" s="291" t="s">
        <v>318</v>
      </c>
      <c r="U23" s="335" t="s">
        <v>336</v>
      </c>
      <c r="V23" s="279">
        <v>0</v>
      </c>
      <c r="W23" s="291" t="s">
        <v>163</v>
      </c>
      <c r="X23" s="279" t="s">
        <v>163</v>
      </c>
      <c r="Y23" s="279" t="s">
        <v>163</v>
      </c>
      <c r="Z23" s="279">
        <v>1</v>
      </c>
      <c r="AA23" s="279" t="s">
        <v>163</v>
      </c>
      <c r="AB23" s="279" t="s">
        <v>224</v>
      </c>
      <c r="AC23" s="279" t="s">
        <v>163</v>
      </c>
      <c r="AD23" s="279" t="s">
        <v>320</v>
      </c>
      <c r="AE23" s="280" t="s">
        <v>337</v>
      </c>
      <c r="AF23" s="291" t="s">
        <v>332</v>
      </c>
      <c r="AG23" s="279" t="s">
        <v>163</v>
      </c>
      <c r="AH23" s="279" t="s">
        <v>163</v>
      </c>
      <c r="AI23" s="279" t="s">
        <v>163</v>
      </c>
      <c r="AJ23" s="279" t="s">
        <v>163</v>
      </c>
      <c r="AK23" s="279" t="s">
        <v>163</v>
      </c>
      <c r="AL23" s="279" t="s">
        <v>163</v>
      </c>
      <c r="AM23" s="279" t="s">
        <v>163</v>
      </c>
      <c r="AN23" s="279" t="s">
        <v>163</v>
      </c>
      <c r="AO23" s="279" t="s">
        <v>163</v>
      </c>
      <c r="AP23" s="279" t="s">
        <v>163</v>
      </c>
      <c r="AQ23" s="279" t="s">
        <v>163</v>
      </c>
      <c r="AR23" s="279" t="s">
        <v>163</v>
      </c>
      <c r="AS23" s="279" t="s">
        <v>163</v>
      </c>
      <c r="AT23" s="279" t="s">
        <v>163</v>
      </c>
    </row>
    <row r="24" spans="1:46" ht="336">
      <c r="A24" s="57" t="s">
        <v>24</v>
      </c>
      <c r="B24" s="57" t="s">
        <v>13</v>
      </c>
      <c r="C24" s="59">
        <v>11</v>
      </c>
      <c r="D24" s="5" t="s">
        <v>338</v>
      </c>
      <c r="F24" s="5" t="s">
        <v>339</v>
      </c>
      <c r="G24" s="47" t="s">
        <v>340</v>
      </c>
      <c r="I24" s="5" t="s">
        <v>341</v>
      </c>
      <c r="L24" s="312" t="s">
        <v>313</v>
      </c>
      <c r="M24" s="282" t="s">
        <v>342</v>
      </c>
      <c r="N24" s="291" t="s">
        <v>219</v>
      </c>
      <c r="O24" s="291" t="s">
        <v>263</v>
      </c>
      <c r="P24" s="291" t="s">
        <v>214</v>
      </c>
      <c r="Q24" s="291" t="s">
        <v>343</v>
      </c>
      <c r="R24" s="279" t="s">
        <v>344</v>
      </c>
      <c r="S24" s="279" t="s">
        <v>215</v>
      </c>
      <c r="T24" s="291" t="s">
        <v>163</v>
      </c>
      <c r="U24" s="279" t="s">
        <v>163</v>
      </c>
      <c r="V24" s="279">
        <v>0</v>
      </c>
      <c r="W24" s="291" t="s">
        <v>163</v>
      </c>
      <c r="X24" s="279" t="s">
        <v>163</v>
      </c>
      <c r="Y24" s="279" t="s">
        <v>163</v>
      </c>
      <c r="Z24" s="279">
        <v>1</v>
      </c>
      <c r="AA24" s="279" t="s">
        <v>223</v>
      </c>
      <c r="AB24" s="279" t="s">
        <v>224</v>
      </c>
      <c r="AC24" s="279">
        <v>3</v>
      </c>
      <c r="AD24" s="279" t="s">
        <v>225</v>
      </c>
      <c r="AE24" s="280" t="s">
        <v>345</v>
      </c>
      <c r="AF24" s="291" t="s">
        <v>163</v>
      </c>
      <c r="AG24" s="279" t="s">
        <v>163</v>
      </c>
      <c r="AH24" s="279" t="s">
        <v>346</v>
      </c>
      <c r="AI24" s="279" t="s">
        <v>347</v>
      </c>
      <c r="AJ24" s="279" t="s">
        <v>163</v>
      </c>
      <c r="AK24" s="279" t="s">
        <v>163</v>
      </c>
      <c r="AL24" s="279" t="s">
        <v>163</v>
      </c>
      <c r="AM24" s="279" t="s">
        <v>163</v>
      </c>
      <c r="AN24" s="279" t="s">
        <v>163</v>
      </c>
      <c r="AO24" s="279" t="s">
        <v>163</v>
      </c>
      <c r="AP24" s="279" t="s">
        <v>163</v>
      </c>
      <c r="AQ24" s="279" t="s">
        <v>163</v>
      </c>
      <c r="AR24" s="279" t="s">
        <v>163</v>
      </c>
      <c r="AS24" s="279" t="s">
        <v>163</v>
      </c>
      <c r="AT24" s="279" t="s">
        <v>163</v>
      </c>
    </row>
    <row r="25" spans="1:46" ht="91.5">
      <c r="A25" s="57" t="s">
        <v>25</v>
      </c>
      <c r="B25" s="57" t="s">
        <v>13</v>
      </c>
      <c r="C25" s="59" t="s">
        <v>348</v>
      </c>
      <c r="D25" s="5" t="s">
        <v>349</v>
      </c>
      <c r="F25" s="5" t="s">
        <v>350</v>
      </c>
      <c r="L25" s="312" t="s">
        <v>313</v>
      </c>
      <c r="M25" s="282" t="s">
        <v>351</v>
      </c>
      <c r="N25" s="291" t="s">
        <v>219</v>
      </c>
      <c r="O25" s="291" t="s">
        <v>263</v>
      </c>
      <c r="P25" s="291" t="s">
        <v>214</v>
      </c>
      <c r="Q25" s="291" t="s">
        <v>221</v>
      </c>
      <c r="R25" s="279" t="s">
        <v>352</v>
      </c>
      <c r="S25" s="279" t="s">
        <v>215</v>
      </c>
      <c r="T25" s="291" t="s">
        <v>163</v>
      </c>
      <c r="U25" s="279" t="s">
        <v>163</v>
      </c>
      <c r="V25" s="279">
        <v>0</v>
      </c>
      <c r="W25" s="291" t="s">
        <v>163</v>
      </c>
      <c r="X25" s="279" t="s">
        <v>163</v>
      </c>
      <c r="Y25" s="279" t="s">
        <v>163</v>
      </c>
      <c r="Z25" s="279">
        <v>1</v>
      </c>
      <c r="AA25" s="279" t="s">
        <v>223</v>
      </c>
      <c r="AB25" s="279" t="s">
        <v>224</v>
      </c>
      <c r="AC25" s="279">
        <v>3</v>
      </c>
      <c r="AD25" s="279" t="s">
        <v>225</v>
      </c>
      <c r="AE25" s="280" t="s">
        <v>353</v>
      </c>
      <c r="AF25" s="291" t="s">
        <v>163</v>
      </c>
      <c r="AG25" s="279" t="s">
        <v>163</v>
      </c>
      <c r="AH25" s="279" t="s">
        <v>227</v>
      </c>
      <c r="AI25" s="279" t="s">
        <v>228</v>
      </c>
      <c r="AJ25" s="279" t="s">
        <v>163</v>
      </c>
      <c r="AK25" s="279" t="s">
        <v>163</v>
      </c>
      <c r="AL25" s="279" t="s">
        <v>163</v>
      </c>
      <c r="AM25" s="279" t="s">
        <v>163</v>
      </c>
      <c r="AN25" s="279" t="s">
        <v>163</v>
      </c>
      <c r="AO25" s="279" t="s">
        <v>163</v>
      </c>
      <c r="AP25" s="279" t="s">
        <v>163</v>
      </c>
      <c r="AQ25" s="279" t="s">
        <v>163</v>
      </c>
      <c r="AR25" s="279" t="s">
        <v>163</v>
      </c>
      <c r="AS25" s="279" t="s">
        <v>163</v>
      </c>
      <c r="AT25" s="279" t="s">
        <v>163</v>
      </c>
    </row>
    <row r="26" spans="1:46" ht="45.75">
      <c r="A26" s="57" t="s">
        <v>26</v>
      </c>
      <c r="B26" s="57" t="s">
        <v>13</v>
      </c>
      <c r="C26" s="59" t="s">
        <v>354</v>
      </c>
      <c r="D26" s="5" t="s">
        <v>355</v>
      </c>
      <c r="F26" s="5" t="s">
        <v>356</v>
      </c>
      <c r="L26" s="314" t="s">
        <v>357</v>
      </c>
      <c r="M26" s="317" t="s">
        <v>358</v>
      </c>
      <c r="N26" s="318" t="s">
        <v>219</v>
      </c>
      <c r="O26" s="318" t="s">
        <v>263</v>
      </c>
      <c r="P26" s="318" t="s">
        <v>214</v>
      </c>
      <c r="Q26" s="318" t="s">
        <v>221</v>
      </c>
      <c r="R26" s="335" t="s">
        <v>359</v>
      </c>
      <c r="S26" s="335" t="s">
        <v>215</v>
      </c>
      <c r="T26" s="318" t="s">
        <v>163</v>
      </c>
      <c r="U26" s="335" t="s">
        <v>163</v>
      </c>
      <c r="V26" s="335">
        <v>0</v>
      </c>
      <c r="W26" s="318" t="s">
        <v>163</v>
      </c>
      <c r="X26" s="335" t="s">
        <v>163</v>
      </c>
      <c r="Y26" s="335" t="s">
        <v>163</v>
      </c>
      <c r="Z26" s="335">
        <v>1</v>
      </c>
      <c r="AA26" s="335" t="s">
        <v>223</v>
      </c>
      <c r="AB26" s="335" t="s">
        <v>224</v>
      </c>
      <c r="AC26" s="335">
        <v>3</v>
      </c>
      <c r="AD26" s="335" t="s">
        <v>225</v>
      </c>
      <c r="AE26" s="342" t="s">
        <v>360</v>
      </c>
      <c r="AF26" s="318" t="s">
        <v>163</v>
      </c>
      <c r="AG26" s="335" t="s">
        <v>163</v>
      </c>
      <c r="AH26" s="335" t="s">
        <v>227</v>
      </c>
      <c r="AI26" s="335" t="s">
        <v>228</v>
      </c>
      <c r="AJ26" s="335" t="s">
        <v>163</v>
      </c>
      <c r="AK26" s="335" t="s">
        <v>163</v>
      </c>
      <c r="AL26" s="335" t="s">
        <v>163</v>
      </c>
      <c r="AM26" s="335" t="s">
        <v>163</v>
      </c>
      <c r="AN26" s="335" t="s">
        <v>163</v>
      </c>
      <c r="AO26" s="335" t="s">
        <v>163</v>
      </c>
      <c r="AP26" s="335" t="s">
        <v>163</v>
      </c>
      <c r="AQ26" s="335" t="s">
        <v>163</v>
      </c>
      <c r="AR26" s="335" t="s">
        <v>163</v>
      </c>
      <c r="AS26" s="335" t="s">
        <v>163</v>
      </c>
      <c r="AT26" s="335" t="s">
        <v>163</v>
      </c>
    </row>
    <row r="27" spans="1:46" ht="106.5">
      <c r="A27" s="57" t="s">
        <v>27</v>
      </c>
      <c r="B27" s="57" t="s">
        <v>13</v>
      </c>
      <c r="C27" s="59" t="s">
        <v>361</v>
      </c>
      <c r="D27" s="5" t="s">
        <v>362</v>
      </c>
      <c r="F27" s="5" t="s">
        <v>363</v>
      </c>
      <c r="L27" s="312" t="s">
        <v>313</v>
      </c>
      <c r="M27" s="282" t="s">
        <v>364</v>
      </c>
      <c r="N27" s="291" t="s">
        <v>315</v>
      </c>
      <c r="O27" s="291" t="s">
        <v>263</v>
      </c>
      <c r="P27" s="309" t="s">
        <v>316</v>
      </c>
      <c r="Q27" s="291" t="s">
        <v>317</v>
      </c>
      <c r="R27" s="279" t="s">
        <v>163</v>
      </c>
      <c r="S27" s="279" t="s">
        <v>163</v>
      </c>
      <c r="T27" s="291" t="s">
        <v>329</v>
      </c>
      <c r="U27" s="335" t="s">
        <v>365</v>
      </c>
      <c r="V27" s="279">
        <v>0</v>
      </c>
      <c r="W27" s="291" t="s">
        <v>163</v>
      </c>
      <c r="X27" s="279" t="s">
        <v>163</v>
      </c>
      <c r="Y27" s="279" t="s">
        <v>163</v>
      </c>
      <c r="Z27" s="279">
        <v>1</v>
      </c>
      <c r="AA27" s="279" t="s">
        <v>163</v>
      </c>
      <c r="AB27" s="279" t="s">
        <v>224</v>
      </c>
      <c r="AC27" s="279" t="s">
        <v>163</v>
      </c>
      <c r="AD27" s="279" t="s">
        <v>320</v>
      </c>
      <c r="AE27" s="280" t="s">
        <v>366</v>
      </c>
      <c r="AF27" s="291" t="s">
        <v>332</v>
      </c>
      <c r="AG27" s="279" t="s">
        <v>163</v>
      </c>
      <c r="AH27" s="279" t="s">
        <v>163</v>
      </c>
      <c r="AI27" s="279" t="s">
        <v>163</v>
      </c>
      <c r="AJ27" s="279" t="s">
        <v>163</v>
      </c>
      <c r="AK27" s="279" t="s">
        <v>163</v>
      </c>
      <c r="AL27" s="279" t="s">
        <v>163</v>
      </c>
      <c r="AM27" s="279" t="s">
        <v>163</v>
      </c>
      <c r="AN27" s="279" t="s">
        <v>163</v>
      </c>
      <c r="AO27" s="279" t="s">
        <v>163</v>
      </c>
      <c r="AP27" s="279" t="s">
        <v>163</v>
      </c>
      <c r="AQ27" s="279" t="s">
        <v>163</v>
      </c>
      <c r="AR27" s="279" t="s">
        <v>163</v>
      </c>
      <c r="AS27" s="279" t="s">
        <v>163</v>
      </c>
      <c r="AT27" s="279" t="s">
        <v>163</v>
      </c>
    </row>
    <row r="28" spans="1:46" ht="60.75">
      <c r="A28" s="60" t="s">
        <v>28</v>
      </c>
      <c r="B28" s="57" t="s">
        <v>13</v>
      </c>
      <c r="C28" s="61" t="s">
        <v>367</v>
      </c>
      <c r="D28" s="5" t="s">
        <v>368</v>
      </c>
      <c r="F28" s="5" t="s">
        <v>369</v>
      </c>
      <c r="L28" s="312" t="s">
        <v>313</v>
      </c>
      <c r="M28" s="282" t="s">
        <v>370</v>
      </c>
      <c r="N28" s="291" t="s">
        <v>315</v>
      </c>
      <c r="O28" s="291" t="s">
        <v>163</v>
      </c>
      <c r="P28" s="309" t="s">
        <v>316</v>
      </c>
      <c r="Q28" s="291" t="s">
        <v>371</v>
      </c>
      <c r="R28" s="279" t="s">
        <v>163</v>
      </c>
      <c r="S28" s="279" t="s">
        <v>163</v>
      </c>
      <c r="T28" s="291" t="s">
        <v>329</v>
      </c>
      <c r="U28" s="335" t="s">
        <v>372</v>
      </c>
      <c r="V28" s="279">
        <v>0</v>
      </c>
      <c r="W28" s="291" t="s">
        <v>163</v>
      </c>
      <c r="X28" s="279" t="s">
        <v>163</v>
      </c>
      <c r="Y28" s="279" t="s">
        <v>163</v>
      </c>
      <c r="Z28" s="279">
        <v>1</v>
      </c>
      <c r="AA28" s="279" t="s">
        <v>163</v>
      </c>
      <c r="AB28" s="279" t="s">
        <v>224</v>
      </c>
      <c r="AC28" s="279" t="s">
        <v>163</v>
      </c>
      <c r="AD28" s="279" t="s">
        <v>320</v>
      </c>
      <c r="AE28" s="280" t="s">
        <v>373</v>
      </c>
      <c r="AF28" s="291" t="s">
        <v>332</v>
      </c>
      <c r="AG28" s="279" t="s">
        <v>163</v>
      </c>
      <c r="AH28" s="279" t="s">
        <v>163</v>
      </c>
      <c r="AI28" s="279" t="s">
        <v>163</v>
      </c>
      <c r="AJ28" s="279" t="s">
        <v>163</v>
      </c>
      <c r="AK28" s="279" t="s">
        <v>163</v>
      </c>
      <c r="AL28" s="279" t="s">
        <v>163</v>
      </c>
      <c r="AM28" s="279" t="s">
        <v>163</v>
      </c>
      <c r="AN28" s="279" t="s">
        <v>163</v>
      </c>
      <c r="AO28" s="279" t="s">
        <v>163</v>
      </c>
      <c r="AP28" s="279" t="s">
        <v>163</v>
      </c>
      <c r="AQ28" s="279" t="s">
        <v>163</v>
      </c>
      <c r="AR28" s="279" t="s">
        <v>163</v>
      </c>
      <c r="AS28" s="279" t="s">
        <v>163</v>
      </c>
      <c r="AT28" s="279" t="s">
        <v>163</v>
      </c>
    </row>
    <row r="29" spans="1:46" ht="213">
      <c r="A29" s="57" t="s">
        <v>29</v>
      </c>
      <c r="B29" s="57" t="s">
        <v>13</v>
      </c>
      <c r="C29" s="59" t="s">
        <v>374</v>
      </c>
      <c r="D29" s="5" t="s">
        <v>349</v>
      </c>
      <c r="F29" s="5" t="s">
        <v>375</v>
      </c>
      <c r="G29" s="47" t="s">
        <v>376</v>
      </c>
      <c r="I29" s="5" t="s">
        <v>377</v>
      </c>
      <c r="L29" s="312" t="s">
        <v>378</v>
      </c>
      <c r="M29" s="282" t="s">
        <v>379</v>
      </c>
      <c r="N29" s="291" t="s">
        <v>219</v>
      </c>
      <c r="O29" s="291" t="s">
        <v>380</v>
      </c>
      <c r="P29" s="309" t="s">
        <v>214</v>
      </c>
      <c r="Q29" s="291" t="s">
        <v>221</v>
      </c>
      <c r="R29" s="279" t="s">
        <v>381</v>
      </c>
      <c r="S29" s="279" t="s">
        <v>215</v>
      </c>
      <c r="T29" s="291" t="s">
        <v>163</v>
      </c>
      <c r="U29" s="279" t="s">
        <v>163</v>
      </c>
      <c r="V29" s="279">
        <v>0</v>
      </c>
      <c r="W29" s="291" t="s">
        <v>163</v>
      </c>
      <c r="X29" s="279" t="s">
        <v>163</v>
      </c>
      <c r="Y29" s="279" t="s">
        <v>163</v>
      </c>
      <c r="Z29" s="279">
        <v>1</v>
      </c>
      <c r="AA29" s="279" t="s">
        <v>223</v>
      </c>
      <c r="AB29" s="279" t="s">
        <v>224</v>
      </c>
      <c r="AC29" s="279">
        <v>3</v>
      </c>
      <c r="AD29" s="279" t="s">
        <v>225</v>
      </c>
      <c r="AE29" s="280" t="s">
        <v>382</v>
      </c>
      <c r="AF29" s="291" t="s">
        <v>163</v>
      </c>
      <c r="AG29" s="279" t="s">
        <v>163</v>
      </c>
      <c r="AH29" s="279" t="s">
        <v>227</v>
      </c>
      <c r="AI29" s="279" t="s">
        <v>228</v>
      </c>
      <c r="AJ29" s="279" t="s">
        <v>163</v>
      </c>
      <c r="AK29" s="279" t="s">
        <v>163</v>
      </c>
      <c r="AL29" s="279" t="s">
        <v>163</v>
      </c>
      <c r="AM29" s="279" t="s">
        <v>163</v>
      </c>
      <c r="AN29" s="279" t="s">
        <v>163</v>
      </c>
      <c r="AO29" s="279" t="s">
        <v>163</v>
      </c>
      <c r="AP29" s="279" t="s">
        <v>163</v>
      </c>
      <c r="AQ29" s="279" t="s">
        <v>163</v>
      </c>
      <c r="AR29" s="279" t="s">
        <v>163</v>
      </c>
      <c r="AS29" s="279" t="s">
        <v>163</v>
      </c>
      <c r="AT29" s="279" t="s">
        <v>163</v>
      </c>
    </row>
    <row r="30" spans="1:46" ht="366">
      <c r="A30" s="57" t="s">
        <v>30</v>
      </c>
      <c r="B30" s="57"/>
      <c r="C30" s="59"/>
      <c r="D30" s="5" t="s">
        <v>383</v>
      </c>
      <c r="F30" s="5" t="s">
        <v>384</v>
      </c>
      <c r="G30" s="46" t="s">
        <v>385</v>
      </c>
      <c r="I30" s="5" t="s">
        <v>386</v>
      </c>
      <c r="L30" s="312" t="s">
        <v>387</v>
      </c>
      <c r="M30" s="282" t="s">
        <v>388</v>
      </c>
      <c r="N30" s="291" t="s">
        <v>219</v>
      </c>
      <c r="O30" s="291" t="s">
        <v>380</v>
      </c>
      <c r="P30" s="291" t="s">
        <v>214</v>
      </c>
      <c r="Q30" s="291" t="s">
        <v>221</v>
      </c>
      <c r="R30" s="279" t="s">
        <v>389</v>
      </c>
      <c r="S30" s="279" t="s">
        <v>215</v>
      </c>
      <c r="T30" s="291" t="s">
        <v>163</v>
      </c>
      <c r="U30" s="279" t="s">
        <v>163</v>
      </c>
      <c r="V30" s="279">
        <v>0</v>
      </c>
      <c r="W30" s="291" t="s">
        <v>163</v>
      </c>
      <c r="X30" s="279" t="s">
        <v>163</v>
      </c>
      <c r="Y30" s="279" t="s">
        <v>163</v>
      </c>
      <c r="Z30" s="279">
        <v>1</v>
      </c>
      <c r="AA30" s="279" t="s">
        <v>223</v>
      </c>
      <c r="AB30" s="279" t="s">
        <v>224</v>
      </c>
      <c r="AC30" s="279">
        <v>3</v>
      </c>
      <c r="AD30" s="279" t="s">
        <v>225</v>
      </c>
      <c r="AE30" s="280" t="s">
        <v>390</v>
      </c>
      <c r="AF30" s="291" t="s">
        <v>163</v>
      </c>
      <c r="AG30" s="279" t="s">
        <v>163</v>
      </c>
      <c r="AH30" s="279" t="s">
        <v>227</v>
      </c>
      <c r="AI30" s="279" t="s">
        <v>228</v>
      </c>
      <c r="AJ30" s="279" t="s">
        <v>163</v>
      </c>
      <c r="AK30" s="279" t="s">
        <v>163</v>
      </c>
      <c r="AL30" s="279" t="s">
        <v>163</v>
      </c>
      <c r="AM30" s="279" t="s">
        <v>163</v>
      </c>
      <c r="AN30" s="279" t="s">
        <v>163</v>
      </c>
      <c r="AO30" s="279" t="s">
        <v>163</v>
      </c>
      <c r="AP30" s="279" t="s">
        <v>163</v>
      </c>
      <c r="AQ30" s="279" t="s">
        <v>163</v>
      </c>
      <c r="AR30" s="279" t="s">
        <v>163</v>
      </c>
      <c r="AS30" s="279" t="s">
        <v>163</v>
      </c>
      <c r="AT30" s="279" t="s">
        <v>163</v>
      </c>
    </row>
    <row r="31" spans="1:46" ht="60.75">
      <c r="A31" s="62" t="s">
        <v>31</v>
      </c>
      <c r="B31" s="57"/>
      <c r="L31" s="312" t="s">
        <v>284</v>
      </c>
      <c r="M31" s="282" t="s">
        <v>391</v>
      </c>
      <c r="N31" s="291" t="s">
        <v>286</v>
      </c>
      <c r="O31" s="291" t="s">
        <v>380</v>
      </c>
      <c r="P31" s="321" t="s">
        <v>287</v>
      </c>
      <c r="Q31" s="291" t="s">
        <v>288</v>
      </c>
      <c r="R31" s="279" t="s">
        <v>163</v>
      </c>
      <c r="S31" s="279" t="s">
        <v>215</v>
      </c>
      <c r="T31" s="291" t="s">
        <v>163</v>
      </c>
      <c r="U31" s="279" t="s">
        <v>163</v>
      </c>
      <c r="V31" s="279">
        <v>0</v>
      </c>
      <c r="W31" s="291" t="s">
        <v>163</v>
      </c>
      <c r="X31" s="279" t="s">
        <v>163</v>
      </c>
      <c r="Y31" s="279" t="s">
        <v>163</v>
      </c>
      <c r="Z31" s="279">
        <v>1</v>
      </c>
      <c r="AA31" s="279" t="s">
        <v>163</v>
      </c>
      <c r="AB31" s="279" t="s">
        <v>224</v>
      </c>
      <c r="AC31" s="279">
        <v>3</v>
      </c>
      <c r="AD31" s="279" t="s">
        <v>225</v>
      </c>
      <c r="AE31" s="280" t="s">
        <v>392</v>
      </c>
      <c r="AF31" s="291" t="s">
        <v>163</v>
      </c>
      <c r="AG31" s="279" t="s">
        <v>163</v>
      </c>
      <c r="AH31" s="279" t="s">
        <v>163</v>
      </c>
      <c r="AI31" s="279" t="s">
        <v>163</v>
      </c>
      <c r="AJ31" s="279" t="s">
        <v>290</v>
      </c>
      <c r="AK31" s="279" t="s">
        <v>291</v>
      </c>
      <c r="AL31" s="279" t="s">
        <v>393</v>
      </c>
      <c r="AM31" s="279" t="s">
        <v>394</v>
      </c>
      <c r="AN31" s="279" t="s">
        <v>294</v>
      </c>
      <c r="AO31" s="279">
        <v>0</v>
      </c>
      <c r="AP31" s="279" t="s">
        <v>214</v>
      </c>
      <c r="AQ31" s="279" t="s">
        <v>295</v>
      </c>
      <c r="AR31" s="279" t="s">
        <v>163</v>
      </c>
      <c r="AS31" s="279" t="s">
        <v>163</v>
      </c>
      <c r="AT31" s="279" t="s">
        <v>163</v>
      </c>
    </row>
    <row r="32" spans="1:46" ht="45.75">
      <c r="A32" s="57" t="s">
        <v>32</v>
      </c>
      <c r="B32" s="57" t="s">
        <v>31</v>
      </c>
      <c r="C32" s="59">
        <v>1</v>
      </c>
      <c r="D32" s="5" t="s">
        <v>395</v>
      </c>
      <c r="E32" s="80">
        <v>4.1666666666666664E-2</v>
      </c>
      <c r="F32" s="5" t="s">
        <v>396</v>
      </c>
      <c r="L32" s="312" t="s">
        <v>284</v>
      </c>
      <c r="M32" s="282" t="s">
        <v>397</v>
      </c>
      <c r="N32" s="291" t="s">
        <v>286</v>
      </c>
      <c r="O32" s="291" t="s">
        <v>380</v>
      </c>
      <c r="P32" s="321" t="s">
        <v>287</v>
      </c>
      <c r="Q32" s="291" t="s">
        <v>288</v>
      </c>
      <c r="R32" s="279" t="s">
        <v>163</v>
      </c>
      <c r="S32" s="279" t="s">
        <v>215</v>
      </c>
      <c r="T32" s="291" t="s">
        <v>163</v>
      </c>
      <c r="U32" s="279" t="s">
        <v>163</v>
      </c>
      <c r="V32" s="279">
        <v>0</v>
      </c>
      <c r="W32" s="291" t="s">
        <v>163</v>
      </c>
      <c r="X32" s="279" t="s">
        <v>163</v>
      </c>
      <c r="Y32" s="279" t="s">
        <v>163</v>
      </c>
      <c r="Z32" s="279">
        <v>1</v>
      </c>
      <c r="AA32" s="279" t="s">
        <v>163</v>
      </c>
      <c r="AB32" s="279" t="s">
        <v>224</v>
      </c>
      <c r="AC32" s="279">
        <v>3</v>
      </c>
      <c r="AD32" s="279" t="s">
        <v>225</v>
      </c>
      <c r="AE32" s="280" t="s">
        <v>398</v>
      </c>
      <c r="AF32" s="291" t="s">
        <v>163</v>
      </c>
      <c r="AG32" s="279" t="s">
        <v>163</v>
      </c>
      <c r="AH32" s="279" t="s">
        <v>163</v>
      </c>
      <c r="AI32" s="279" t="s">
        <v>163</v>
      </c>
      <c r="AJ32" s="279" t="s">
        <v>290</v>
      </c>
      <c r="AK32" s="279" t="s">
        <v>291</v>
      </c>
      <c r="AL32" s="279" t="s">
        <v>399</v>
      </c>
      <c r="AM32" s="279" t="s">
        <v>400</v>
      </c>
      <c r="AN32" s="279" t="s">
        <v>294</v>
      </c>
      <c r="AO32" s="279">
        <v>0</v>
      </c>
      <c r="AP32" s="279" t="s">
        <v>214</v>
      </c>
      <c r="AQ32" s="279" t="s">
        <v>295</v>
      </c>
      <c r="AR32" s="279" t="s">
        <v>163</v>
      </c>
      <c r="AS32" s="279" t="s">
        <v>163</v>
      </c>
      <c r="AT32" s="279" t="s">
        <v>163</v>
      </c>
    </row>
    <row r="33" spans="1:46" ht="60.75">
      <c r="A33" s="57" t="s">
        <v>33</v>
      </c>
      <c r="B33" s="57" t="s">
        <v>31</v>
      </c>
      <c r="C33" s="59">
        <v>2</v>
      </c>
      <c r="D33" s="5" t="s">
        <v>401</v>
      </c>
      <c r="F33" s="5" t="s">
        <v>402</v>
      </c>
      <c r="L33" s="312" t="s">
        <v>284</v>
      </c>
      <c r="M33" s="282" t="s">
        <v>403</v>
      </c>
      <c r="N33" s="291" t="s">
        <v>286</v>
      </c>
      <c r="O33" s="291" t="s">
        <v>380</v>
      </c>
      <c r="P33" s="321" t="s">
        <v>287</v>
      </c>
      <c r="Q33" s="291" t="s">
        <v>288</v>
      </c>
      <c r="R33" s="279" t="s">
        <v>163</v>
      </c>
      <c r="S33" s="279" t="s">
        <v>215</v>
      </c>
      <c r="T33" s="291" t="s">
        <v>163</v>
      </c>
      <c r="U33" s="279" t="s">
        <v>163</v>
      </c>
      <c r="V33" s="279">
        <v>0</v>
      </c>
      <c r="W33" s="291" t="s">
        <v>163</v>
      </c>
      <c r="X33" s="279" t="s">
        <v>163</v>
      </c>
      <c r="Y33" s="279" t="s">
        <v>163</v>
      </c>
      <c r="Z33" s="279">
        <v>1</v>
      </c>
      <c r="AA33" s="279" t="s">
        <v>163</v>
      </c>
      <c r="AB33" s="279" t="s">
        <v>224</v>
      </c>
      <c r="AC33" s="279">
        <v>3</v>
      </c>
      <c r="AD33" s="279" t="s">
        <v>225</v>
      </c>
      <c r="AE33" s="280" t="s">
        <v>404</v>
      </c>
      <c r="AF33" s="291" t="s">
        <v>163</v>
      </c>
      <c r="AG33" s="279" t="s">
        <v>163</v>
      </c>
      <c r="AH33" s="279" t="s">
        <v>163</v>
      </c>
      <c r="AI33" s="279" t="s">
        <v>163</v>
      </c>
      <c r="AJ33" s="279" t="s">
        <v>290</v>
      </c>
      <c r="AK33" s="279" t="s">
        <v>291</v>
      </c>
      <c r="AL33" s="279" t="s">
        <v>405</v>
      </c>
      <c r="AM33" s="279" t="s">
        <v>406</v>
      </c>
      <c r="AN33" s="279" t="s">
        <v>294</v>
      </c>
      <c r="AO33" s="279">
        <v>0</v>
      </c>
      <c r="AP33" s="279" t="s">
        <v>214</v>
      </c>
      <c r="AQ33" s="279" t="s">
        <v>295</v>
      </c>
      <c r="AR33" s="279" t="s">
        <v>163</v>
      </c>
      <c r="AS33" s="279" t="s">
        <v>163</v>
      </c>
      <c r="AT33" s="279" t="s">
        <v>163</v>
      </c>
    </row>
    <row r="34" spans="1:46" ht="91.5">
      <c r="A34" s="57" t="s">
        <v>34</v>
      </c>
      <c r="B34" s="57" t="s">
        <v>31</v>
      </c>
      <c r="C34" s="59">
        <v>3</v>
      </c>
      <c r="D34" s="5" t="s">
        <v>407</v>
      </c>
      <c r="L34" s="312" t="s">
        <v>408</v>
      </c>
      <c r="M34" s="282" t="s">
        <v>409</v>
      </c>
      <c r="N34" s="291" t="s">
        <v>219</v>
      </c>
      <c r="O34" s="291" t="s">
        <v>380</v>
      </c>
      <c r="P34" s="291" t="s">
        <v>214</v>
      </c>
      <c r="Q34" s="291" t="s">
        <v>221</v>
      </c>
      <c r="R34" s="279" t="s">
        <v>410</v>
      </c>
      <c r="S34" s="279" t="s">
        <v>215</v>
      </c>
      <c r="T34" s="291" t="s">
        <v>163</v>
      </c>
      <c r="U34" s="279" t="s">
        <v>163</v>
      </c>
      <c r="V34" s="279">
        <v>0</v>
      </c>
      <c r="W34" s="291" t="s">
        <v>163</v>
      </c>
      <c r="X34" s="279" t="s">
        <v>163</v>
      </c>
      <c r="Y34" s="279" t="s">
        <v>163</v>
      </c>
      <c r="Z34" s="279">
        <v>1</v>
      </c>
      <c r="AA34" s="279" t="s">
        <v>223</v>
      </c>
      <c r="AB34" s="279" t="s">
        <v>224</v>
      </c>
      <c r="AC34" s="279">
        <v>3</v>
      </c>
      <c r="AD34" s="279" t="s">
        <v>225</v>
      </c>
      <c r="AE34" s="280" t="s">
        <v>411</v>
      </c>
      <c r="AF34" s="291" t="s">
        <v>163</v>
      </c>
      <c r="AG34" s="279" t="s">
        <v>163</v>
      </c>
      <c r="AH34" s="279" t="s">
        <v>227</v>
      </c>
      <c r="AI34" s="279" t="s">
        <v>228</v>
      </c>
      <c r="AJ34" s="279" t="s">
        <v>163</v>
      </c>
      <c r="AK34" s="279" t="s">
        <v>163</v>
      </c>
      <c r="AL34" s="279" t="s">
        <v>163</v>
      </c>
      <c r="AM34" s="279" t="s">
        <v>163</v>
      </c>
      <c r="AN34" s="279" t="s">
        <v>163</v>
      </c>
      <c r="AO34" s="279" t="s">
        <v>163</v>
      </c>
      <c r="AP34" s="279" t="s">
        <v>163</v>
      </c>
      <c r="AQ34" s="279" t="s">
        <v>163</v>
      </c>
      <c r="AR34" s="279" t="s">
        <v>163</v>
      </c>
      <c r="AS34" s="279" t="s">
        <v>163</v>
      </c>
      <c r="AT34" s="279" t="s">
        <v>163</v>
      </c>
    </row>
    <row r="35" spans="1:46" ht="60.75">
      <c r="A35" s="57" t="s">
        <v>35</v>
      </c>
      <c r="B35" s="57" t="s">
        <v>31</v>
      </c>
      <c r="C35" s="59">
        <v>4</v>
      </c>
      <c r="D35" s="5" t="s">
        <v>412</v>
      </c>
      <c r="L35" s="312" t="s">
        <v>284</v>
      </c>
      <c r="M35" s="282" t="s">
        <v>413</v>
      </c>
      <c r="N35" s="291" t="s">
        <v>286</v>
      </c>
      <c r="O35" s="291" t="s">
        <v>380</v>
      </c>
      <c r="P35" s="309" t="s">
        <v>287</v>
      </c>
      <c r="Q35" s="291" t="s">
        <v>288</v>
      </c>
      <c r="R35" s="279" t="s">
        <v>163</v>
      </c>
      <c r="S35" s="279" t="s">
        <v>215</v>
      </c>
      <c r="T35" s="291" t="s">
        <v>163</v>
      </c>
      <c r="U35" s="279" t="s">
        <v>163</v>
      </c>
      <c r="V35" s="279">
        <v>0</v>
      </c>
      <c r="W35" s="291" t="s">
        <v>163</v>
      </c>
      <c r="X35" s="279" t="s">
        <v>163</v>
      </c>
      <c r="Y35" s="279" t="s">
        <v>163</v>
      </c>
      <c r="Z35" s="279">
        <v>1</v>
      </c>
      <c r="AA35" s="279" t="s">
        <v>163</v>
      </c>
      <c r="AB35" s="279" t="s">
        <v>224</v>
      </c>
      <c r="AC35" s="279">
        <v>3</v>
      </c>
      <c r="AD35" s="279" t="s">
        <v>225</v>
      </c>
      <c r="AE35" s="280" t="s">
        <v>414</v>
      </c>
      <c r="AF35" s="291" t="s">
        <v>163</v>
      </c>
      <c r="AG35" s="279" t="s">
        <v>163</v>
      </c>
      <c r="AH35" s="279" t="s">
        <v>163</v>
      </c>
      <c r="AI35" s="279" t="s">
        <v>163</v>
      </c>
      <c r="AJ35" s="279" t="s">
        <v>290</v>
      </c>
      <c r="AK35" s="279" t="s">
        <v>291</v>
      </c>
      <c r="AL35" s="279" t="s">
        <v>415</v>
      </c>
      <c r="AM35" s="279" t="s">
        <v>416</v>
      </c>
      <c r="AN35" s="279" t="s">
        <v>294</v>
      </c>
      <c r="AO35" s="279">
        <v>0</v>
      </c>
      <c r="AP35" s="279" t="s">
        <v>214</v>
      </c>
      <c r="AQ35" s="279" t="s">
        <v>295</v>
      </c>
      <c r="AR35" s="279" t="s">
        <v>163</v>
      </c>
      <c r="AS35" s="279" t="s">
        <v>163</v>
      </c>
      <c r="AT35" s="279" t="s">
        <v>163</v>
      </c>
    </row>
    <row r="36" spans="1:46" ht="60.75">
      <c r="A36" s="57" t="s">
        <v>36</v>
      </c>
      <c r="B36" s="57" t="s">
        <v>31</v>
      </c>
      <c r="C36" s="59">
        <v>5</v>
      </c>
      <c r="D36" s="5" t="s">
        <v>417</v>
      </c>
      <c r="L36" s="312" t="s">
        <v>261</v>
      </c>
      <c r="M36" s="282" t="s">
        <v>262</v>
      </c>
      <c r="N36" s="291" t="s">
        <v>219</v>
      </c>
      <c r="O36" s="291" t="s">
        <v>380</v>
      </c>
      <c r="P36" s="291" t="s">
        <v>214</v>
      </c>
      <c r="Q36" s="291" t="s">
        <v>221</v>
      </c>
      <c r="R36" s="279" t="s">
        <v>264</v>
      </c>
      <c r="S36" s="279" t="s">
        <v>215</v>
      </c>
      <c r="T36" s="291" t="s">
        <v>163</v>
      </c>
      <c r="U36" s="279" t="s">
        <v>163</v>
      </c>
      <c r="V36" s="279">
        <v>0</v>
      </c>
      <c r="W36" s="291" t="s">
        <v>163</v>
      </c>
      <c r="X36" s="279" t="s">
        <v>163</v>
      </c>
      <c r="Y36" s="279" t="s">
        <v>163</v>
      </c>
      <c r="Z36" s="279">
        <v>1</v>
      </c>
      <c r="AA36" s="279" t="s">
        <v>223</v>
      </c>
      <c r="AB36" s="279" t="s">
        <v>224</v>
      </c>
      <c r="AC36" s="279">
        <v>3</v>
      </c>
      <c r="AD36" s="279" t="s">
        <v>225</v>
      </c>
      <c r="AE36" s="280" t="s">
        <v>418</v>
      </c>
      <c r="AF36" s="291" t="s">
        <v>163</v>
      </c>
      <c r="AG36" s="279" t="s">
        <v>163</v>
      </c>
      <c r="AH36" s="279" t="s">
        <v>227</v>
      </c>
      <c r="AI36" s="279" t="s">
        <v>228</v>
      </c>
      <c r="AJ36" s="279" t="s">
        <v>163</v>
      </c>
      <c r="AK36" s="279" t="s">
        <v>163</v>
      </c>
      <c r="AL36" s="279" t="s">
        <v>163</v>
      </c>
      <c r="AM36" s="279" t="s">
        <v>163</v>
      </c>
      <c r="AN36" s="279" t="s">
        <v>163</v>
      </c>
      <c r="AO36" s="279" t="s">
        <v>163</v>
      </c>
      <c r="AP36" s="279" t="s">
        <v>163</v>
      </c>
      <c r="AQ36" s="279" t="s">
        <v>163</v>
      </c>
      <c r="AR36" s="279" t="s">
        <v>163</v>
      </c>
      <c r="AS36" s="279" t="s">
        <v>163</v>
      </c>
      <c r="AT36" s="279" t="s">
        <v>163</v>
      </c>
    </row>
    <row r="37" spans="1:46" ht="76.5">
      <c r="A37" s="57" t="s">
        <v>37</v>
      </c>
      <c r="B37" s="57" t="s">
        <v>31</v>
      </c>
      <c r="C37" s="59">
        <v>6</v>
      </c>
      <c r="D37" s="5" t="s">
        <v>419</v>
      </c>
      <c r="F37" s="5" t="s">
        <v>420</v>
      </c>
      <c r="L37" s="312" t="s">
        <v>267</v>
      </c>
      <c r="M37" s="282" t="s">
        <v>421</v>
      </c>
      <c r="N37" s="291" t="s">
        <v>219</v>
      </c>
      <c r="O37" s="291" t="s">
        <v>380</v>
      </c>
      <c r="P37" s="291" t="s">
        <v>214</v>
      </c>
      <c r="Q37" s="291" t="s">
        <v>221</v>
      </c>
      <c r="R37" s="279" t="s">
        <v>269</v>
      </c>
      <c r="S37" s="279" t="s">
        <v>215</v>
      </c>
      <c r="T37" s="291" t="s">
        <v>163</v>
      </c>
      <c r="U37" s="279" t="s">
        <v>163</v>
      </c>
      <c r="V37" s="279">
        <v>0</v>
      </c>
      <c r="W37" s="291" t="s">
        <v>163</v>
      </c>
      <c r="X37" s="279" t="s">
        <v>163</v>
      </c>
      <c r="Y37" s="279" t="s">
        <v>163</v>
      </c>
      <c r="Z37" s="279">
        <v>1</v>
      </c>
      <c r="AA37" s="279" t="s">
        <v>223</v>
      </c>
      <c r="AB37" s="279" t="s">
        <v>224</v>
      </c>
      <c r="AC37" s="279">
        <v>3</v>
      </c>
      <c r="AD37" s="279" t="s">
        <v>225</v>
      </c>
      <c r="AE37" s="280" t="s">
        <v>422</v>
      </c>
      <c r="AF37" s="291" t="s">
        <v>163</v>
      </c>
      <c r="AG37" s="279" t="s">
        <v>163</v>
      </c>
      <c r="AH37" s="279" t="s">
        <v>227</v>
      </c>
      <c r="AI37" s="279" t="s">
        <v>228</v>
      </c>
      <c r="AJ37" s="279" t="s">
        <v>163</v>
      </c>
      <c r="AK37" s="279" t="s">
        <v>163</v>
      </c>
      <c r="AL37" s="279" t="s">
        <v>163</v>
      </c>
      <c r="AM37" s="279" t="s">
        <v>163</v>
      </c>
      <c r="AN37" s="279" t="s">
        <v>163</v>
      </c>
      <c r="AO37" s="279" t="s">
        <v>163</v>
      </c>
      <c r="AP37" s="279" t="s">
        <v>163</v>
      </c>
      <c r="AQ37" s="279" t="s">
        <v>163</v>
      </c>
      <c r="AR37" s="279" t="s">
        <v>163</v>
      </c>
      <c r="AS37" s="279" t="s">
        <v>163</v>
      </c>
      <c r="AT37" s="279" t="s">
        <v>163</v>
      </c>
    </row>
    <row r="38" spans="1:46" ht="76.5">
      <c r="A38" s="57" t="s">
        <v>38</v>
      </c>
      <c r="B38" s="57" t="s">
        <v>31</v>
      </c>
      <c r="C38" s="59">
        <v>7</v>
      </c>
      <c r="D38" s="5" t="s">
        <v>423</v>
      </c>
      <c r="L38" s="312" t="s">
        <v>272</v>
      </c>
      <c r="M38" s="282" t="s">
        <v>424</v>
      </c>
      <c r="N38" s="291" t="s">
        <v>219</v>
      </c>
      <c r="O38" s="291" t="s">
        <v>380</v>
      </c>
      <c r="P38" s="291" t="s">
        <v>214</v>
      </c>
      <c r="Q38" s="291" t="s">
        <v>221</v>
      </c>
      <c r="R38" s="279" t="s">
        <v>274</v>
      </c>
      <c r="S38" s="279" t="s">
        <v>215</v>
      </c>
      <c r="T38" s="291" t="s">
        <v>163</v>
      </c>
      <c r="U38" s="279" t="s">
        <v>163</v>
      </c>
      <c r="V38" s="279">
        <v>0</v>
      </c>
      <c r="W38" s="291" t="s">
        <v>163</v>
      </c>
      <c r="X38" s="279" t="s">
        <v>163</v>
      </c>
      <c r="Y38" s="279" t="s">
        <v>163</v>
      </c>
      <c r="Z38" s="279">
        <v>1</v>
      </c>
      <c r="AA38" s="279" t="s">
        <v>223</v>
      </c>
      <c r="AB38" s="279" t="s">
        <v>224</v>
      </c>
      <c r="AC38" s="279">
        <v>3</v>
      </c>
      <c r="AD38" s="279" t="s">
        <v>225</v>
      </c>
      <c r="AE38" s="280" t="s">
        <v>425</v>
      </c>
      <c r="AF38" s="291" t="s">
        <v>163</v>
      </c>
      <c r="AG38" s="279" t="s">
        <v>163</v>
      </c>
      <c r="AH38" s="279" t="s">
        <v>227</v>
      </c>
      <c r="AI38" s="279" t="s">
        <v>228</v>
      </c>
      <c r="AJ38" s="279" t="s">
        <v>163</v>
      </c>
      <c r="AK38" s="279" t="s">
        <v>163</v>
      </c>
      <c r="AL38" s="279" t="s">
        <v>163</v>
      </c>
      <c r="AM38" s="279" t="s">
        <v>163</v>
      </c>
      <c r="AN38" s="279" t="s">
        <v>163</v>
      </c>
      <c r="AO38" s="279" t="s">
        <v>163</v>
      </c>
      <c r="AP38" s="279" t="s">
        <v>163</v>
      </c>
      <c r="AQ38" s="279" t="s">
        <v>163</v>
      </c>
      <c r="AR38" s="279" t="s">
        <v>163</v>
      </c>
      <c r="AS38" s="279" t="s">
        <v>163</v>
      </c>
      <c r="AT38" s="279" t="s">
        <v>163</v>
      </c>
    </row>
    <row r="39" spans="1:46" ht="76.5">
      <c r="A39" s="57" t="s">
        <v>39</v>
      </c>
      <c r="B39" s="57" t="s">
        <v>31</v>
      </c>
      <c r="C39" s="59">
        <v>8</v>
      </c>
      <c r="D39" s="5" t="s">
        <v>426</v>
      </c>
      <c r="F39" s="5" t="s">
        <v>271</v>
      </c>
      <c r="L39" s="312" t="s">
        <v>278</v>
      </c>
      <c r="M39" s="282" t="s">
        <v>427</v>
      </c>
      <c r="N39" s="291" t="s">
        <v>219</v>
      </c>
      <c r="O39" s="291" t="s">
        <v>380</v>
      </c>
      <c r="P39" s="291" t="s">
        <v>214</v>
      </c>
      <c r="Q39" s="291" t="s">
        <v>221</v>
      </c>
      <c r="R39" s="279" t="s">
        <v>280</v>
      </c>
      <c r="S39" s="279" t="s">
        <v>215</v>
      </c>
      <c r="T39" s="291" t="s">
        <v>163</v>
      </c>
      <c r="U39" s="279" t="s">
        <v>163</v>
      </c>
      <c r="V39" s="279">
        <v>0</v>
      </c>
      <c r="W39" s="291" t="s">
        <v>163</v>
      </c>
      <c r="X39" s="279" t="s">
        <v>163</v>
      </c>
      <c r="Y39" s="279" t="s">
        <v>163</v>
      </c>
      <c r="Z39" s="279">
        <v>1</v>
      </c>
      <c r="AA39" s="279" t="s">
        <v>223</v>
      </c>
      <c r="AB39" s="279" t="s">
        <v>224</v>
      </c>
      <c r="AC39" s="279">
        <v>3</v>
      </c>
      <c r="AD39" s="279" t="s">
        <v>225</v>
      </c>
      <c r="AE39" s="280" t="s">
        <v>428</v>
      </c>
      <c r="AF39" s="291" t="s">
        <v>163</v>
      </c>
      <c r="AG39" s="279" t="s">
        <v>163</v>
      </c>
      <c r="AH39" s="279" t="s">
        <v>227</v>
      </c>
      <c r="AI39" s="279" t="s">
        <v>228</v>
      </c>
      <c r="AJ39" s="279" t="s">
        <v>163</v>
      </c>
      <c r="AK39" s="279" t="s">
        <v>163</v>
      </c>
      <c r="AL39" s="279" t="s">
        <v>163</v>
      </c>
      <c r="AM39" s="279" t="s">
        <v>163</v>
      </c>
      <c r="AN39" s="279" t="s">
        <v>163</v>
      </c>
      <c r="AO39" s="279" t="s">
        <v>163</v>
      </c>
      <c r="AP39" s="279" t="s">
        <v>163</v>
      </c>
      <c r="AQ39" s="279" t="s">
        <v>163</v>
      </c>
      <c r="AR39" s="279" t="s">
        <v>163</v>
      </c>
      <c r="AS39" s="279" t="s">
        <v>163</v>
      </c>
      <c r="AT39" s="279" t="s">
        <v>163</v>
      </c>
    </row>
    <row r="40" spans="1:46" ht="45.75">
      <c r="A40" s="57" t="s">
        <v>40</v>
      </c>
      <c r="B40" s="57" t="s">
        <v>31</v>
      </c>
      <c r="C40" s="59">
        <v>9</v>
      </c>
      <c r="D40" s="5" t="s">
        <v>429</v>
      </c>
      <c r="F40" s="63" t="s">
        <v>430</v>
      </c>
      <c r="L40" s="312" t="s">
        <v>284</v>
      </c>
      <c r="M40" s="282" t="s">
        <v>431</v>
      </c>
      <c r="N40" s="291" t="s">
        <v>286</v>
      </c>
      <c r="O40" s="291" t="s">
        <v>380</v>
      </c>
      <c r="P40" s="309" t="s">
        <v>287</v>
      </c>
      <c r="Q40" s="291" t="s">
        <v>288</v>
      </c>
      <c r="R40" s="279" t="s">
        <v>163</v>
      </c>
      <c r="S40" s="279" t="s">
        <v>215</v>
      </c>
      <c r="T40" s="291" t="s">
        <v>163</v>
      </c>
      <c r="U40" s="279" t="s">
        <v>163</v>
      </c>
      <c r="V40" s="279">
        <v>0</v>
      </c>
      <c r="W40" s="291" t="s">
        <v>163</v>
      </c>
      <c r="X40" s="279" t="s">
        <v>163</v>
      </c>
      <c r="Y40" s="279" t="s">
        <v>163</v>
      </c>
      <c r="Z40" s="279">
        <v>1</v>
      </c>
      <c r="AA40" s="279" t="s">
        <v>163</v>
      </c>
      <c r="AB40" s="279" t="s">
        <v>224</v>
      </c>
      <c r="AC40" s="279">
        <v>3</v>
      </c>
      <c r="AD40" s="279" t="s">
        <v>225</v>
      </c>
      <c r="AE40" s="280" t="s">
        <v>432</v>
      </c>
      <c r="AF40" s="291" t="s">
        <v>163</v>
      </c>
      <c r="AG40" s="279" t="s">
        <v>163</v>
      </c>
      <c r="AH40" s="279" t="s">
        <v>163</v>
      </c>
      <c r="AI40" s="279" t="s">
        <v>163</v>
      </c>
      <c r="AJ40" s="279" t="s">
        <v>290</v>
      </c>
      <c r="AK40" s="279" t="s">
        <v>291</v>
      </c>
      <c r="AL40" s="279" t="s">
        <v>292</v>
      </c>
      <c r="AM40" s="279" t="s">
        <v>293</v>
      </c>
      <c r="AN40" s="279" t="s">
        <v>294</v>
      </c>
      <c r="AO40" s="279">
        <v>0</v>
      </c>
      <c r="AP40" s="279" t="s">
        <v>214</v>
      </c>
      <c r="AQ40" s="279" t="s">
        <v>295</v>
      </c>
      <c r="AR40" s="279" t="s">
        <v>163</v>
      </c>
      <c r="AS40" s="279" t="s">
        <v>163</v>
      </c>
      <c r="AT40" s="279" t="s">
        <v>163</v>
      </c>
    </row>
    <row r="41" spans="1:46" ht="45.75">
      <c r="A41" s="57" t="s">
        <v>41</v>
      </c>
      <c r="B41" s="57" t="s">
        <v>31</v>
      </c>
      <c r="C41" s="59">
        <v>10</v>
      </c>
      <c r="D41" s="5" t="s">
        <v>433</v>
      </c>
      <c r="F41" s="5" t="s">
        <v>434</v>
      </c>
      <c r="L41" s="312" t="s">
        <v>284</v>
      </c>
      <c r="M41" s="282" t="s">
        <v>435</v>
      </c>
      <c r="N41" s="291" t="s">
        <v>286</v>
      </c>
      <c r="O41" s="291" t="s">
        <v>380</v>
      </c>
      <c r="P41" s="321" t="s">
        <v>287</v>
      </c>
      <c r="Q41" s="291" t="s">
        <v>288</v>
      </c>
      <c r="R41" s="279" t="s">
        <v>163</v>
      </c>
      <c r="S41" s="279" t="s">
        <v>215</v>
      </c>
      <c r="T41" s="291" t="s">
        <v>163</v>
      </c>
      <c r="U41" s="279" t="s">
        <v>163</v>
      </c>
      <c r="V41" s="279">
        <v>0</v>
      </c>
      <c r="W41" s="291" t="s">
        <v>163</v>
      </c>
      <c r="X41" s="279" t="s">
        <v>163</v>
      </c>
      <c r="Y41" s="279" t="s">
        <v>163</v>
      </c>
      <c r="Z41" s="279">
        <v>1</v>
      </c>
      <c r="AA41" s="279" t="s">
        <v>163</v>
      </c>
      <c r="AB41" s="279" t="s">
        <v>224</v>
      </c>
      <c r="AC41" s="279">
        <v>3</v>
      </c>
      <c r="AD41" s="279" t="s">
        <v>225</v>
      </c>
      <c r="AE41" s="280" t="s">
        <v>436</v>
      </c>
      <c r="AF41" s="291" t="s">
        <v>163</v>
      </c>
      <c r="AG41" s="279" t="s">
        <v>163</v>
      </c>
      <c r="AH41" s="279" t="s">
        <v>163</v>
      </c>
      <c r="AI41" s="279" t="s">
        <v>163</v>
      </c>
      <c r="AJ41" s="279" t="s">
        <v>290</v>
      </c>
      <c r="AK41" s="279" t="s">
        <v>291</v>
      </c>
      <c r="AL41" s="279" t="s">
        <v>300</v>
      </c>
      <c r="AM41" s="279" t="s">
        <v>301</v>
      </c>
      <c r="AN41" s="279" t="s">
        <v>294</v>
      </c>
      <c r="AO41" s="279">
        <v>0</v>
      </c>
      <c r="AP41" s="279" t="s">
        <v>214</v>
      </c>
      <c r="AQ41" s="279" t="s">
        <v>295</v>
      </c>
      <c r="AR41" s="279" t="s">
        <v>163</v>
      </c>
      <c r="AS41" s="279" t="s">
        <v>163</v>
      </c>
      <c r="AT41" s="279" t="s">
        <v>163</v>
      </c>
    </row>
    <row r="42" spans="1:46" ht="60.75">
      <c r="A42" s="57" t="s">
        <v>42</v>
      </c>
      <c r="B42" s="57" t="s">
        <v>31</v>
      </c>
      <c r="C42" s="59">
        <v>11</v>
      </c>
      <c r="D42" s="5" t="s">
        <v>437</v>
      </c>
      <c r="F42" s="5" t="s">
        <v>438</v>
      </c>
      <c r="L42" s="312" t="s">
        <v>284</v>
      </c>
      <c r="M42" s="282" t="s">
        <v>439</v>
      </c>
      <c r="N42" s="291" t="s">
        <v>286</v>
      </c>
      <c r="O42" s="291" t="s">
        <v>380</v>
      </c>
      <c r="P42" s="321" t="s">
        <v>287</v>
      </c>
      <c r="Q42" s="291" t="s">
        <v>288</v>
      </c>
      <c r="R42" s="279" t="s">
        <v>163</v>
      </c>
      <c r="S42" s="279" t="s">
        <v>215</v>
      </c>
      <c r="T42" s="291" t="s">
        <v>163</v>
      </c>
      <c r="U42" s="279" t="s">
        <v>163</v>
      </c>
      <c r="V42" s="279">
        <v>0</v>
      </c>
      <c r="W42" s="291" t="s">
        <v>163</v>
      </c>
      <c r="X42" s="279" t="s">
        <v>163</v>
      </c>
      <c r="Y42" s="279" t="s">
        <v>163</v>
      </c>
      <c r="Z42" s="279">
        <v>1</v>
      </c>
      <c r="AA42" s="279" t="s">
        <v>163</v>
      </c>
      <c r="AB42" s="279" t="s">
        <v>224</v>
      </c>
      <c r="AC42" s="279">
        <v>3</v>
      </c>
      <c r="AD42" s="279" t="s">
        <v>225</v>
      </c>
      <c r="AE42" s="280" t="s">
        <v>440</v>
      </c>
      <c r="AF42" s="291" t="s">
        <v>163</v>
      </c>
      <c r="AG42" s="279" t="s">
        <v>163</v>
      </c>
      <c r="AH42" s="279" t="s">
        <v>163</v>
      </c>
      <c r="AI42" s="279" t="s">
        <v>163</v>
      </c>
      <c r="AJ42" s="279" t="s">
        <v>290</v>
      </c>
      <c r="AK42" s="279" t="s">
        <v>291</v>
      </c>
      <c r="AL42" s="279" t="s">
        <v>305</v>
      </c>
      <c r="AM42" s="279" t="s">
        <v>306</v>
      </c>
      <c r="AN42" s="279" t="s">
        <v>294</v>
      </c>
      <c r="AO42" s="279">
        <v>0</v>
      </c>
      <c r="AP42" s="279" t="s">
        <v>214</v>
      </c>
      <c r="AQ42" s="279" t="s">
        <v>295</v>
      </c>
      <c r="AR42" s="279" t="s">
        <v>163</v>
      </c>
      <c r="AS42" s="279" t="s">
        <v>163</v>
      </c>
      <c r="AT42" s="279" t="s">
        <v>163</v>
      </c>
    </row>
    <row r="43" spans="1:46" ht="60.75">
      <c r="A43" s="57" t="s">
        <v>43</v>
      </c>
      <c r="B43" s="57" t="s">
        <v>31</v>
      </c>
      <c r="C43" s="59">
        <v>12</v>
      </c>
      <c r="D43" s="5" t="s">
        <v>441</v>
      </c>
      <c r="L43" s="312" t="s">
        <v>284</v>
      </c>
      <c r="M43" s="282" t="s">
        <v>442</v>
      </c>
      <c r="N43" s="291" t="s">
        <v>286</v>
      </c>
      <c r="O43" s="291" t="s">
        <v>380</v>
      </c>
      <c r="P43" s="321" t="s">
        <v>287</v>
      </c>
      <c r="Q43" s="291" t="s">
        <v>288</v>
      </c>
      <c r="R43" s="279" t="s">
        <v>163</v>
      </c>
      <c r="S43" s="279" t="s">
        <v>215</v>
      </c>
      <c r="T43" s="291" t="s">
        <v>163</v>
      </c>
      <c r="U43" s="279" t="s">
        <v>163</v>
      </c>
      <c r="V43" s="279">
        <v>0</v>
      </c>
      <c r="W43" s="291" t="s">
        <v>163</v>
      </c>
      <c r="X43" s="279" t="s">
        <v>163</v>
      </c>
      <c r="Y43" s="279" t="s">
        <v>163</v>
      </c>
      <c r="Z43" s="279">
        <v>1</v>
      </c>
      <c r="AA43" s="279" t="s">
        <v>163</v>
      </c>
      <c r="AB43" s="279" t="s">
        <v>224</v>
      </c>
      <c r="AC43" s="279">
        <v>3</v>
      </c>
      <c r="AD43" s="279" t="s">
        <v>225</v>
      </c>
      <c r="AE43" s="280" t="s">
        <v>443</v>
      </c>
      <c r="AF43" s="291" t="s">
        <v>163</v>
      </c>
      <c r="AG43" s="279" t="s">
        <v>163</v>
      </c>
      <c r="AH43" s="279" t="s">
        <v>163</v>
      </c>
      <c r="AI43" s="279" t="s">
        <v>163</v>
      </c>
      <c r="AJ43" s="279" t="s">
        <v>290</v>
      </c>
      <c r="AK43" s="279" t="s">
        <v>291</v>
      </c>
      <c r="AL43" s="279" t="s">
        <v>310</v>
      </c>
      <c r="AM43" s="279" t="s">
        <v>311</v>
      </c>
      <c r="AN43" s="279" t="s">
        <v>294</v>
      </c>
      <c r="AO43" s="279">
        <v>0</v>
      </c>
      <c r="AP43" s="279" t="s">
        <v>214</v>
      </c>
      <c r="AQ43" s="279" t="s">
        <v>295</v>
      </c>
      <c r="AR43" s="279" t="s">
        <v>163</v>
      </c>
      <c r="AS43" s="279" t="s">
        <v>163</v>
      </c>
      <c r="AT43" s="279" t="s">
        <v>163</v>
      </c>
    </row>
    <row r="44" spans="1:46" ht="106.5">
      <c r="A44" s="57" t="s">
        <v>44</v>
      </c>
      <c r="B44" s="57" t="s">
        <v>31</v>
      </c>
      <c r="C44" s="59">
        <v>13</v>
      </c>
      <c r="D44" s="5" t="s">
        <v>444</v>
      </c>
      <c r="L44" s="312" t="s">
        <v>313</v>
      </c>
      <c r="M44" s="306" t="s">
        <v>445</v>
      </c>
      <c r="N44" s="304" t="s">
        <v>315</v>
      </c>
      <c r="O44" s="304" t="s">
        <v>380</v>
      </c>
      <c r="P44" s="304" t="s">
        <v>316</v>
      </c>
      <c r="Q44" s="304" t="s">
        <v>317</v>
      </c>
      <c r="R44" s="305" t="s">
        <v>163</v>
      </c>
      <c r="S44" s="305" t="s">
        <v>163</v>
      </c>
      <c r="T44" s="304" t="s">
        <v>318</v>
      </c>
      <c r="U44" s="341" t="s">
        <v>446</v>
      </c>
      <c r="V44" s="305">
        <v>0</v>
      </c>
      <c r="W44" s="304" t="s">
        <v>163</v>
      </c>
      <c r="X44" s="305" t="s">
        <v>163</v>
      </c>
      <c r="Y44" s="305" t="s">
        <v>163</v>
      </c>
      <c r="Z44" s="305">
        <v>1</v>
      </c>
      <c r="AA44" s="305" t="s">
        <v>163</v>
      </c>
      <c r="AB44" s="305" t="s">
        <v>224</v>
      </c>
      <c r="AC44" s="305" t="s">
        <v>163</v>
      </c>
      <c r="AD44" s="305" t="s">
        <v>320</v>
      </c>
      <c r="AE44" s="307" t="s">
        <v>447</v>
      </c>
      <c r="AF44" s="304" t="s">
        <v>332</v>
      </c>
      <c r="AG44" s="305" t="s">
        <v>163</v>
      </c>
      <c r="AH44" s="305" t="s">
        <v>163</v>
      </c>
      <c r="AI44" s="305" t="s">
        <v>163</v>
      </c>
      <c r="AJ44" s="305" t="s">
        <v>163</v>
      </c>
      <c r="AK44" s="305" t="s">
        <v>163</v>
      </c>
      <c r="AL44" s="305" t="s">
        <v>163</v>
      </c>
      <c r="AM44" s="305" t="s">
        <v>163</v>
      </c>
      <c r="AN44" s="305" t="s">
        <v>163</v>
      </c>
      <c r="AO44" s="305" t="s">
        <v>163</v>
      </c>
      <c r="AP44" s="305" t="s">
        <v>163</v>
      </c>
      <c r="AQ44" s="305" t="s">
        <v>163</v>
      </c>
      <c r="AR44" s="305" t="s">
        <v>163</v>
      </c>
      <c r="AS44" s="305" t="s">
        <v>163</v>
      </c>
      <c r="AT44" s="305" t="s">
        <v>163</v>
      </c>
    </row>
    <row r="45" spans="1:46" ht="106.5">
      <c r="A45" s="57" t="s">
        <v>45</v>
      </c>
      <c r="B45" s="57" t="s">
        <v>31</v>
      </c>
      <c r="C45" s="59">
        <v>14</v>
      </c>
      <c r="D45" s="5" t="s">
        <v>448</v>
      </c>
      <c r="L45" s="312" t="s">
        <v>313</v>
      </c>
      <c r="M45" s="306" t="s">
        <v>449</v>
      </c>
      <c r="N45" s="304" t="s">
        <v>315</v>
      </c>
      <c r="O45" s="304" t="s">
        <v>380</v>
      </c>
      <c r="P45" s="304" t="s">
        <v>316</v>
      </c>
      <c r="Q45" s="304" t="s">
        <v>317</v>
      </c>
      <c r="R45" s="305" t="s">
        <v>163</v>
      </c>
      <c r="S45" s="305" t="s">
        <v>163</v>
      </c>
      <c r="T45" s="304" t="s">
        <v>318</v>
      </c>
      <c r="U45" s="341" t="s">
        <v>450</v>
      </c>
      <c r="V45" s="305">
        <v>0</v>
      </c>
      <c r="W45" s="304" t="s">
        <v>163</v>
      </c>
      <c r="X45" s="305" t="s">
        <v>163</v>
      </c>
      <c r="Y45" s="305" t="s">
        <v>163</v>
      </c>
      <c r="Z45" s="305">
        <v>1</v>
      </c>
      <c r="AA45" s="305" t="s">
        <v>163</v>
      </c>
      <c r="AB45" s="305" t="s">
        <v>224</v>
      </c>
      <c r="AC45" s="305" t="s">
        <v>163</v>
      </c>
      <c r="AD45" s="305" t="s">
        <v>320</v>
      </c>
      <c r="AE45" s="307" t="s">
        <v>451</v>
      </c>
      <c r="AF45" s="304" t="s">
        <v>332</v>
      </c>
      <c r="AG45" s="305" t="s">
        <v>163</v>
      </c>
      <c r="AH45" s="305" t="s">
        <v>163</v>
      </c>
      <c r="AI45" s="305" t="s">
        <v>163</v>
      </c>
      <c r="AJ45" s="305" t="s">
        <v>163</v>
      </c>
      <c r="AK45" s="305" t="s">
        <v>163</v>
      </c>
      <c r="AL45" s="305" t="s">
        <v>163</v>
      </c>
      <c r="AM45" s="305" t="s">
        <v>163</v>
      </c>
      <c r="AN45" s="305" t="s">
        <v>163</v>
      </c>
      <c r="AO45" s="305" t="s">
        <v>163</v>
      </c>
      <c r="AP45" s="305" t="s">
        <v>163</v>
      </c>
      <c r="AQ45" s="305" t="s">
        <v>163</v>
      </c>
      <c r="AR45" s="305" t="s">
        <v>163</v>
      </c>
      <c r="AS45" s="305" t="s">
        <v>163</v>
      </c>
      <c r="AT45" s="305" t="s">
        <v>163</v>
      </c>
    </row>
    <row r="46" spans="1:46" ht="137.25">
      <c r="A46" s="57" t="s">
        <v>46</v>
      </c>
      <c r="B46" s="57" t="s">
        <v>31</v>
      </c>
      <c r="C46" s="59">
        <v>15</v>
      </c>
      <c r="D46" s="5" t="s">
        <v>452</v>
      </c>
      <c r="L46" s="312" t="s">
        <v>313</v>
      </c>
      <c r="M46" s="306" t="s">
        <v>453</v>
      </c>
      <c r="N46" s="304" t="s">
        <v>315</v>
      </c>
      <c r="O46" s="304" t="s">
        <v>380</v>
      </c>
      <c r="P46" s="304" t="s">
        <v>316</v>
      </c>
      <c r="Q46" s="304" t="s">
        <v>317</v>
      </c>
      <c r="R46" s="305" t="s">
        <v>163</v>
      </c>
      <c r="S46" s="305" t="s">
        <v>163</v>
      </c>
      <c r="T46" s="304" t="s">
        <v>318</v>
      </c>
      <c r="U46" s="305" t="s">
        <v>319</v>
      </c>
      <c r="V46" s="305">
        <v>0</v>
      </c>
      <c r="W46" s="304" t="s">
        <v>163</v>
      </c>
      <c r="X46" s="305" t="s">
        <v>163</v>
      </c>
      <c r="Y46" s="305" t="s">
        <v>163</v>
      </c>
      <c r="Z46" s="305">
        <v>1</v>
      </c>
      <c r="AA46" s="305" t="s">
        <v>163</v>
      </c>
      <c r="AB46" s="305" t="s">
        <v>224</v>
      </c>
      <c r="AC46" s="305" t="s">
        <v>163</v>
      </c>
      <c r="AD46" s="305" t="s">
        <v>320</v>
      </c>
      <c r="AE46" s="307" t="s">
        <v>454</v>
      </c>
      <c r="AF46" s="304" t="s">
        <v>455</v>
      </c>
      <c r="AG46" s="305" t="s">
        <v>163</v>
      </c>
      <c r="AH46" s="305" t="s">
        <v>163</v>
      </c>
      <c r="AI46" s="305" t="s">
        <v>163</v>
      </c>
      <c r="AJ46" s="305" t="s">
        <v>163</v>
      </c>
      <c r="AK46" s="305" t="s">
        <v>163</v>
      </c>
      <c r="AL46" s="305" t="s">
        <v>163</v>
      </c>
      <c r="AM46" s="305" t="s">
        <v>163</v>
      </c>
      <c r="AN46" s="305" t="s">
        <v>163</v>
      </c>
      <c r="AO46" s="305" t="s">
        <v>163</v>
      </c>
      <c r="AP46" s="305" t="s">
        <v>163</v>
      </c>
      <c r="AQ46" s="305" t="s">
        <v>163</v>
      </c>
      <c r="AR46" s="305" t="s">
        <v>163</v>
      </c>
      <c r="AS46" s="305" t="s">
        <v>163</v>
      </c>
      <c r="AT46" s="305" t="s">
        <v>163</v>
      </c>
    </row>
    <row r="47" spans="1:46" ht="121.5">
      <c r="A47" s="57" t="s">
        <v>47</v>
      </c>
      <c r="B47" s="57" t="s">
        <v>31</v>
      </c>
      <c r="C47" s="59">
        <v>16</v>
      </c>
      <c r="D47" s="5" t="s">
        <v>456</v>
      </c>
      <c r="F47" s="5" t="s">
        <v>457</v>
      </c>
      <c r="L47" s="312" t="s">
        <v>313</v>
      </c>
      <c r="M47" s="306" t="s">
        <v>458</v>
      </c>
      <c r="N47" s="304" t="s">
        <v>315</v>
      </c>
      <c r="O47" s="304" t="s">
        <v>380</v>
      </c>
      <c r="P47" s="304" t="s">
        <v>316</v>
      </c>
      <c r="Q47" s="304" t="s">
        <v>317</v>
      </c>
      <c r="R47" s="305" t="s">
        <v>163</v>
      </c>
      <c r="S47" s="305" t="s">
        <v>163</v>
      </c>
      <c r="T47" s="304" t="s">
        <v>329</v>
      </c>
      <c r="U47" s="341" t="s">
        <v>459</v>
      </c>
      <c r="V47" s="305">
        <v>0</v>
      </c>
      <c r="W47" s="304" t="s">
        <v>163</v>
      </c>
      <c r="X47" s="305" t="s">
        <v>163</v>
      </c>
      <c r="Y47" s="305" t="s">
        <v>163</v>
      </c>
      <c r="Z47" s="305">
        <v>1</v>
      </c>
      <c r="AA47" s="305" t="s">
        <v>163</v>
      </c>
      <c r="AB47" s="305" t="s">
        <v>224</v>
      </c>
      <c r="AC47" s="305" t="s">
        <v>163</v>
      </c>
      <c r="AD47" s="305" t="s">
        <v>320</v>
      </c>
      <c r="AE47" s="307" t="s">
        <v>460</v>
      </c>
      <c r="AF47" s="304" t="s">
        <v>332</v>
      </c>
      <c r="AG47" s="305" t="s">
        <v>163</v>
      </c>
      <c r="AH47" s="305" t="s">
        <v>163</v>
      </c>
      <c r="AI47" s="305" t="s">
        <v>163</v>
      </c>
      <c r="AJ47" s="305" t="s">
        <v>163</v>
      </c>
      <c r="AK47" s="305" t="s">
        <v>163</v>
      </c>
      <c r="AL47" s="305" t="s">
        <v>163</v>
      </c>
      <c r="AM47" s="305" t="s">
        <v>163</v>
      </c>
      <c r="AN47" s="305" t="s">
        <v>163</v>
      </c>
      <c r="AO47" s="305" t="s">
        <v>163</v>
      </c>
      <c r="AP47" s="305" t="s">
        <v>163</v>
      </c>
      <c r="AQ47" s="305" t="s">
        <v>163</v>
      </c>
      <c r="AR47" s="305" t="s">
        <v>163</v>
      </c>
      <c r="AS47" s="305" t="s">
        <v>163</v>
      </c>
      <c r="AT47" s="305" t="s">
        <v>163</v>
      </c>
    </row>
    <row r="48" spans="1:46" ht="91.5">
      <c r="A48" s="57" t="s">
        <v>48</v>
      </c>
      <c r="B48" s="57" t="s">
        <v>31</v>
      </c>
      <c r="C48" s="59">
        <v>17</v>
      </c>
      <c r="D48" s="5" t="s">
        <v>461</v>
      </c>
      <c r="F48" s="5" t="s">
        <v>462</v>
      </c>
      <c r="G48" s="64"/>
      <c r="L48" s="312" t="s">
        <v>313</v>
      </c>
      <c r="M48" s="306" t="s">
        <v>463</v>
      </c>
      <c r="N48" s="304" t="s">
        <v>315</v>
      </c>
      <c r="O48" s="304" t="s">
        <v>380</v>
      </c>
      <c r="P48" s="304" t="s">
        <v>316</v>
      </c>
      <c r="Q48" s="304" t="s">
        <v>317</v>
      </c>
      <c r="R48" s="305" t="s">
        <v>163</v>
      </c>
      <c r="S48" s="305" t="s">
        <v>163</v>
      </c>
      <c r="T48" s="304" t="s">
        <v>329</v>
      </c>
      <c r="U48" s="341" t="s">
        <v>464</v>
      </c>
      <c r="V48" s="305">
        <v>0</v>
      </c>
      <c r="W48" s="304" t="s">
        <v>163</v>
      </c>
      <c r="X48" s="305" t="s">
        <v>163</v>
      </c>
      <c r="Y48" s="305" t="s">
        <v>163</v>
      </c>
      <c r="Z48" s="305">
        <v>1</v>
      </c>
      <c r="AA48" s="305" t="s">
        <v>163</v>
      </c>
      <c r="AB48" s="305" t="s">
        <v>224</v>
      </c>
      <c r="AC48" s="305" t="s">
        <v>163</v>
      </c>
      <c r="AD48" s="305" t="s">
        <v>320</v>
      </c>
      <c r="AE48" s="307" t="s">
        <v>465</v>
      </c>
      <c r="AF48" s="304" t="s">
        <v>332</v>
      </c>
      <c r="AG48" s="305" t="s">
        <v>163</v>
      </c>
      <c r="AH48" s="305" t="s">
        <v>163</v>
      </c>
      <c r="AI48" s="305" t="s">
        <v>163</v>
      </c>
      <c r="AJ48" s="305" t="s">
        <v>163</v>
      </c>
      <c r="AK48" s="305" t="s">
        <v>163</v>
      </c>
      <c r="AL48" s="305" t="s">
        <v>163</v>
      </c>
      <c r="AM48" s="305" t="s">
        <v>163</v>
      </c>
      <c r="AN48" s="305" t="s">
        <v>163</v>
      </c>
      <c r="AO48" s="305" t="s">
        <v>163</v>
      </c>
      <c r="AP48" s="305" t="s">
        <v>163</v>
      </c>
      <c r="AQ48" s="305" t="s">
        <v>163</v>
      </c>
      <c r="AR48" s="305" t="s">
        <v>163</v>
      </c>
      <c r="AS48" s="305" t="s">
        <v>163</v>
      </c>
      <c r="AT48" s="305" t="s">
        <v>163</v>
      </c>
    </row>
    <row r="49" spans="1:47" ht="91.5">
      <c r="A49" s="57" t="s">
        <v>49</v>
      </c>
      <c r="B49" s="57" t="s">
        <v>31</v>
      </c>
      <c r="C49" s="59">
        <v>18</v>
      </c>
      <c r="D49" s="5" t="s">
        <v>466</v>
      </c>
      <c r="F49" s="5" t="s">
        <v>467</v>
      </c>
      <c r="G49" s="64"/>
      <c r="L49" s="312" t="s">
        <v>163</v>
      </c>
      <c r="M49" s="282" t="s">
        <v>468</v>
      </c>
      <c r="N49" s="291" t="s">
        <v>219</v>
      </c>
      <c r="O49" s="291" t="s">
        <v>380</v>
      </c>
      <c r="P49" s="291" t="s">
        <v>214</v>
      </c>
      <c r="Q49" s="291" t="s">
        <v>221</v>
      </c>
      <c r="R49" s="279" t="s">
        <v>324</v>
      </c>
      <c r="S49" s="279" t="s">
        <v>215</v>
      </c>
      <c r="T49" s="291" t="s">
        <v>163</v>
      </c>
      <c r="U49" s="279" t="s">
        <v>163</v>
      </c>
      <c r="V49" s="279">
        <v>0</v>
      </c>
      <c r="W49" s="291" t="s">
        <v>163</v>
      </c>
      <c r="X49" s="279" t="s">
        <v>163</v>
      </c>
      <c r="Y49" s="279" t="s">
        <v>163</v>
      </c>
      <c r="Z49" s="279">
        <v>1</v>
      </c>
      <c r="AA49" s="279" t="s">
        <v>223</v>
      </c>
      <c r="AB49" s="279" t="s">
        <v>224</v>
      </c>
      <c r="AC49" s="279">
        <v>3</v>
      </c>
      <c r="AD49" s="279" t="s">
        <v>225</v>
      </c>
      <c r="AE49" s="280" t="s">
        <v>469</v>
      </c>
      <c r="AF49" s="291" t="s">
        <v>163</v>
      </c>
      <c r="AG49" s="279" t="s">
        <v>163</v>
      </c>
      <c r="AH49" s="279" t="s">
        <v>227</v>
      </c>
      <c r="AI49" s="279" t="s">
        <v>228</v>
      </c>
      <c r="AJ49" s="279" t="s">
        <v>163</v>
      </c>
      <c r="AK49" s="279" t="s">
        <v>163</v>
      </c>
      <c r="AL49" s="279" t="s">
        <v>163</v>
      </c>
      <c r="AM49" s="279" t="s">
        <v>163</v>
      </c>
      <c r="AN49" s="279" t="s">
        <v>163</v>
      </c>
      <c r="AO49" s="279" t="s">
        <v>163</v>
      </c>
      <c r="AP49" s="279" t="s">
        <v>163</v>
      </c>
      <c r="AQ49" s="279" t="s">
        <v>163</v>
      </c>
      <c r="AR49" s="279" t="s">
        <v>163</v>
      </c>
      <c r="AS49" s="279" t="s">
        <v>163</v>
      </c>
      <c r="AT49" s="279" t="s">
        <v>163</v>
      </c>
    </row>
    <row r="50" spans="1:47" ht="45.75">
      <c r="A50" s="57" t="s">
        <v>50</v>
      </c>
      <c r="B50" s="57" t="s">
        <v>31</v>
      </c>
      <c r="C50" s="59">
        <v>19</v>
      </c>
      <c r="D50" s="5" t="s">
        <v>470</v>
      </c>
      <c r="F50" s="5" t="s">
        <v>471</v>
      </c>
      <c r="G50" s="64"/>
      <c r="L50" s="312" t="s">
        <v>313</v>
      </c>
      <c r="M50" s="306" t="s">
        <v>472</v>
      </c>
      <c r="N50" s="304" t="s">
        <v>315</v>
      </c>
      <c r="O50" s="304" t="s">
        <v>380</v>
      </c>
      <c r="P50" s="304" t="s">
        <v>316</v>
      </c>
      <c r="Q50" s="304" t="s">
        <v>317</v>
      </c>
      <c r="R50" s="305" t="s">
        <v>163</v>
      </c>
      <c r="S50" s="305" t="s">
        <v>163</v>
      </c>
      <c r="T50" s="304" t="s">
        <v>329</v>
      </c>
      <c r="U50" s="341" t="s">
        <v>473</v>
      </c>
      <c r="V50" s="305">
        <v>0</v>
      </c>
      <c r="W50" s="304" t="s">
        <v>163</v>
      </c>
      <c r="X50" s="305" t="s">
        <v>163</v>
      </c>
      <c r="Y50" s="305" t="s">
        <v>163</v>
      </c>
      <c r="Z50" s="305">
        <v>1</v>
      </c>
      <c r="AA50" s="305" t="s">
        <v>163</v>
      </c>
      <c r="AB50" s="305" t="s">
        <v>224</v>
      </c>
      <c r="AC50" s="305" t="s">
        <v>163</v>
      </c>
      <c r="AD50" s="305" t="s">
        <v>320</v>
      </c>
      <c r="AE50" s="307" t="s">
        <v>474</v>
      </c>
      <c r="AF50" s="304" t="s">
        <v>332</v>
      </c>
      <c r="AG50" s="305" t="s">
        <v>163</v>
      </c>
      <c r="AH50" s="305" t="s">
        <v>163</v>
      </c>
      <c r="AI50" s="305" t="s">
        <v>163</v>
      </c>
      <c r="AJ50" s="305" t="s">
        <v>163</v>
      </c>
      <c r="AK50" s="305" t="s">
        <v>163</v>
      </c>
      <c r="AL50" s="305" t="s">
        <v>163</v>
      </c>
      <c r="AM50" s="305" t="s">
        <v>163</v>
      </c>
      <c r="AN50" s="305" t="s">
        <v>163</v>
      </c>
      <c r="AO50" s="305" t="s">
        <v>163</v>
      </c>
      <c r="AP50" s="305" t="s">
        <v>163</v>
      </c>
      <c r="AQ50" s="305" t="s">
        <v>163</v>
      </c>
      <c r="AR50" s="305" t="s">
        <v>163</v>
      </c>
      <c r="AS50" s="305" t="s">
        <v>163</v>
      </c>
      <c r="AT50" s="305" t="s">
        <v>163</v>
      </c>
    </row>
    <row r="51" spans="1:47" ht="45.75">
      <c r="A51" s="57" t="s">
        <v>51</v>
      </c>
      <c r="B51" s="57" t="s">
        <v>31</v>
      </c>
      <c r="C51" s="59">
        <v>20</v>
      </c>
      <c r="D51" s="5" t="s">
        <v>475</v>
      </c>
      <c r="F51" s="5" t="s">
        <v>476</v>
      </c>
      <c r="G51" s="64"/>
      <c r="L51" s="312" t="s">
        <v>313</v>
      </c>
      <c r="M51" s="306" t="s">
        <v>477</v>
      </c>
      <c r="N51" s="304" t="s">
        <v>315</v>
      </c>
      <c r="O51" s="304" t="s">
        <v>380</v>
      </c>
      <c r="P51" s="332" t="s">
        <v>316</v>
      </c>
      <c r="Q51" s="304" t="s">
        <v>317</v>
      </c>
      <c r="R51" s="305" t="s">
        <v>163</v>
      </c>
      <c r="S51" s="305" t="s">
        <v>163</v>
      </c>
      <c r="T51" s="304" t="s">
        <v>329</v>
      </c>
      <c r="U51" s="341" t="s">
        <v>478</v>
      </c>
      <c r="V51" s="305">
        <v>0</v>
      </c>
      <c r="W51" s="304" t="s">
        <v>163</v>
      </c>
      <c r="X51" s="305" t="s">
        <v>163</v>
      </c>
      <c r="Y51" s="305" t="s">
        <v>163</v>
      </c>
      <c r="Z51" s="305">
        <v>1</v>
      </c>
      <c r="AA51" s="305" t="s">
        <v>163</v>
      </c>
      <c r="AB51" s="305" t="s">
        <v>224</v>
      </c>
      <c r="AC51" s="305" t="s">
        <v>163</v>
      </c>
      <c r="AD51" s="305" t="s">
        <v>320</v>
      </c>
      <c r="AE51" s="307" t="s">
        <v>479</v>
      </c>
      <c r="AF51" s="304" t="s">
        <v>332</v>
      </c>
      <c r="AG51" s="305" t="s">
        <v>163</v>
      </c>
      <c r="AH51" s="305" t="s">
        <v>163</v>
      </c>
      <c r="AI51" s="305" t="s">
        <v>163</v>
      </c>
      <c r="AJ51" s="305" t="s">
        <v>163</v>
      </c>
      <c r="AK51" s="305" t="s">
        <v>163</v>
      </c>
      <c r="AL51" s="305" t="s">
        <v>163</v>
      </c>
      <c r="AM51" s="305" t="s">
        <v>163</v>
      </c>
      <c r="AN51" s="305" t="s">
        <v>163</v>
      </c>
      <c r="AO51" s="305" t="s">
        <v>163</v>
      </c>
      <c r="AP51" s="305" t="s">
        <v>163</v>
      </c>
      <c r="AQ51" s="305" t="s">
        <v>163</v>
      </c>
      <c r="AR51" s="305" t="s">
        <v>163</v>
      </c>
      <c r="AS51" s="305" t="s">
        <v>163</v>
      </c>
      <c r="AT51" s="305" t="s">
        <v>163</v>
      </c>
    </row>
    <row r="52" spans="1:47" ht="45.75">
      <c r="A52" s="57" t="s">
        <v>52</v>
      </c>
      <c r="B52" s="57" t="s">
        <v>31</v>
      </c>
      <c r="C52" s="59">
        <v>21</v>
      </c>
      <c r="D52" s="57" t="s">
        <v>480</v>
      </c>
      <c r="F52" s="5" t="s">
        <v>334</v>
      </c>
      <c r="G52" s="64"/>
      <c r="L52" s="312" t="s">
        <v>313</v>
      </c>
      <c r="M52" s="306" t="s">
        <v>481</v>
      </c>
      <c r="N52" s="304" t="s">
        <v>315</v>
      </c>
      <c r="O52" s="304" t="s">
        <v>380</v>
      </c>
      <c r="P52" s="332" t="s">
        <v>316</v>
      </c>
      <c r="Q52" s="304" t="s">
        <v>317</v>
      </c>
      <c r="R52" s="305" t="s">
        <v>163</v>
      </c>
      <c r="S52" s="305" t="s">
        <v>163</v>
      </c>
      <c r="T52" s="304" t="s">
        <v>329</v>
      </c>
      <c r="U52" s="341" t="s">
        <v>482</v>
      </c>
      <c r="V52" s="305">
        <v>0</v>
      </c>
      <c r="W52" s="304" t="s">
        <v>163</v>
      </c>
      <c r="X52" s="305" t="s">
        <v>163</v>
      </c>
      <c r="Y52" s="305" t="s">
        <v>163</v>
      </c>
      <c r="Z52" s="305">
        <v>1</v>
      </c>
      <c r="AA52" s="305" t="s">
        <v>163</v>
      </c>
      <c r="AB52" s="305" t="s">
        <v>224</v>
      </c>
      <c r="AC52" s="305" t="s">
        <v>163</v>
      </c>
      <c r="AD52" s="305" t="s">
        <v>320</v>
      </c>
      <c r="AE52" s="307" t="s">
        <v>483</v>
      </c>
      <c r="AF52" s="304" t="s">
        <v>332</v>
      </c>
      <c r="AG52" s="305" t="s">
        <v>163</v>
      </c>
      <c r="AH52" s="305" t="s">
        <v>163</v>
      </c>
      <c r="AI52" s="305" t="s">
        <v>163</v>
      </c>
      <c r="AJ52" s="305" t="s">
        <v>163</v>
      </c>
      <c r="AK52" s="305" t="s">
        <v>163</v>
      </c>
      <c r="AL52" s="305" t="s">
        <v>163</v>
      </c>
      <c r="AM52" s="305" t="s">
        <v>163</v>
      </c>
      <c r="AN52" s="305" t="s">
        <v>163</v>
      </c>
      <c r="AO52" s="305" t="s">
        <v>163</v>
      </c>
      <c r="AP52" s="305" t="s">
        <v>163</v>
      </c>
      <c r="AQ52" s="305" t="s">
        <v>163</v>
      </c>
      <c r="AR52" s="305" t="s">
        <v>163</v>
      </c>
      <c r="AS52" s="305" t="s">
        <v>163</v>
      </c>
      <c r="AT52" s="305" t="s">
        <v>163</v>
      </c>
    </row>
    <row r="53" spans="1:47" ht="45.75">
      <c r="A53" s="57" t="s">
        <v>53</v>
      </c>
      <c r="B53" s="57" t="s">
        <v>31</v>
      </c>
      <c r="C53" s="59">
        <v>22</v>
      </c>
      <c r="D53" s="57" t="s">
        <v>484</v>
      </c>
      <c r="F53" s="5" t="s">
        <v>485</v>
      </c>
      <c r="G53" s="42" t="s">
        <v>486</v>
      </c>
      <c r="H53" s="5" t="s">
        <v>487</v>
      </c>
      <c r="I53" s="166" t="s">
        <v>488</v>
      </c>
      <c r="L53" s="312" t="s">
        <v>489</v>
      </c>
      <c r="M53" s="325" t="s">
        <v>490</v>
      </c>
      <c r="N53" s="291" t="s">
        <v>219</v>
      </c>
      <c r="O53" s="291" t="s">
        <v>380</v>
      </c>
      <c r="P53" s="309" t="s">
        <v>214</v>
      </c>
      <c r="Q53" s="291" t="s">
        <v>221</v>
      </c>
      <c r="R53" s="279" t="s">
        <v>491</v>
      </c>
      <c r="S53" s="279" t="s">
        <v>492</v>
      </c>
      <c r="T53" s="291" t="s">
        <v>163</v>
      </c>
      <c r="U53" s="279" t="s">
        <v>163</v>
      </c>
      <c r="V53" s="279">
        <v>0</v>
      </c>
      <c r="W53" s="291" t="s">
        <v>163</v>
      </c>
      <c r="X53" s="279" t="s">
        <v>163</v>
      </c>
      <c r="Y53" s="279" t="s">
        <v>163</v>
      </c>
      <c r="Z53" s="279">
        <v>1</v>
      </c>
      <c r="AA53" s="279" t="s">
        <v>163</v>
      </c>
      <c r="AB53" s="279" t="s">
        <v>224</v>
      </c>
      <c r="AC53" s="279" t="s">
        <v>163</v>
      </c>
      <c r="AD53" s="279" t="s">
        <v>320</v>
      </c>
      <c r="AE53" s="280" t="s">
        <v>493</v>
      </c>
      <c r="AF53" s="291" t="s">
        <v>163</v>
      </c>
      <c r="AG53" s="279" t="s">
        <v>163</v>
      </c>
      <c r="AH53" s="279" t="s">
        <v>227</v>
      </c>
      <c r="AI53" s="279" t="s">
        <v>228</v>
      </c>
      <c r="AJ53" s="279" t="s">
        <v>163</v>
      </c>
      <c r="AK53" s="279" t="s">
        <v>163</v>
      </c>
      <c r="AL53" s="279" t="s">
        <v>163</v>
      </c>
      <c r="AM53" s="279" t="s">
        <v>163</v>
      </c>
      <c r="AN53" s="279" t="s">
        <v>163</v>
      </c>
      <c r="AO53" s="279" t="s">
        <v>163</v>
      </c>
      <c r="AP53" s="279" t="s">
        <v>163</v>
      </c>
      <c r="AQ53" s="279" t="s">
        <v>163</v>
      </c>
      <c r="AR53" s="279" t="s">
        <v>163</v>
      </c>
      <c r="AS53" s="279" t="s">
        <v>163</v>
      </c>
      <c r="AT53" s="279" t="s">
        <v>163</v>
      </c>
      <c r="AU53" s="5" t="s">
        <v>494</v>
      </c>
    </row>
    <row r="54" spans="1:47" ht="45.75">
      <c r="A54" s="57" t="s">
        <v>54</v>
      </c>
      <c r="B54" s="57" t="s">
        <v>31</v>
      </c>
      <c r="C54" s="59">
        <v>23</v>
      </c>
      <c r="D54" s="57" t="s">
        <v>495</v>
      </c>
      <c r="F54" s="5" t="s">
        <v>496</v>
      </c>
      <c r="G54" s="43" t="s">
        <v>497</v>
      </c>
      <c r="H54" s="5" t="s">
        <v>498</v>
      </c>
      <c r="I54" s="166" t="s">
        <v>499</v>
      </c>
      <c r="L54" s="312" t="s">
        <v>500</v>
      </c>
      <c r="M54" s="282" t="s">
        <v>501</v>
      </c>
      <c r="N54" s="291" t="s">
        <v>219</v>
      </c>
      <c r="O54" s="291" t="s">
        <v>380</v>
      </c>
      <c r="P54" s="309" t="s">
        <v>214</v>
      </c>
      <c r="Q54" s="291" t="s">
        <v>221</v>
      </c>
      <c r="R54" s="279" t="s">
        <v>502</v>
      </c>
      <c r="S54" s="279" t="s">
        <v>215</v>
      </c>
      <c r="T54" s="291" t="s">
        <v>163</v>
      </c>
      <c r="U54" s="279" t="s">
        <v>163</v>
      </c>
      <c r="V54" s="279">
        <v>0</v>
      </c>
      <c r="W54" s="291" t="s">
        <v>163</v>
      </c>
      <c r="X54" s="279" t="s">
        <v>163</v>
      </c>
      <c r="Y54" s="279" t="s">
        <v>163</v>
      </c>
      <c r="Z54" s="279">
        <v>1</v>
      </c>
      <c r="AA54" s="279" t="s">
        <v>163</v>
      </c>
      <c r="AB54" s="279" t="s">
        <v>224</v>
      </c>
      <c r="AC54" s="279" t="s">
        <v>163</v>
      </c>
      <c r="AD54" s="279" t="s">
        <v>320</v>
      </c>
      <c r="AE54" s="280" t="s">
        <v>503</v>
      </c>
      <c r="AF54" s="291" t="s">
        <v>163</v>
      </c>
      <c r="AG54" s="279" t="s">
        <v>163</v>
      </c>
      <c r="AH54" s="279" t="s">
        <v>227</v>
      </c>
      <c r="AI54" s="279" t="s">
        <v>228</v>
      </c>
      <c r="AJ54" s="279" t="s">
        <v>163</v>
      </c>
      <c r="AK54" s="279" t="s">
        <v>163</v>
      </c>
      <c r="AL54" s="279" t="s">
        <v>163</v>
      </c>
      <c r="AM54" s="279" t="s">
        <v>163</v>
      </c>
      <c r="AN54" s="279" t="s">
        <v>163</v>
      </c>
      <c r="AO54" s="279" t="s">
        <v>163</v>
      </c>
      <c r="AP54" s="279" t="s">
        <v>163</v>
      </c>
      <c r="AQ54" s="279" t="s">
        <v>163</v>
      </c>
      <c r="AR54" s="279" t="s">
        <v>163</v>
      </c>
      <c r="AS54" s="279" t="s">
        <v>163</v>
      </c>
      <c r="AT54" s="279" t="s">
        <v>163</v>
      </c>
      <c r="AU54" s="5" t="s">
        <v>494</v>
      </c>
    </row>
    <row r="55" spans="1:47" ht="60.75">
      <c r="A55" s="57" t="s">
        <v>55</v>
      </c>
      <c r="B55" s="57" t="s">
        <v>31</v>
      </c>
      <c r="C55" s="59">
        <v>24</v>
      </c>
      <c r="D55" s="57" t="s">
        <v>504</v>
      </c>
      <c r="F55" s="5" t="s">
        <v>505</v>
      </c>
      <c r="G55" s="43" t="s">
        <v>506</v>
      </c>
      <c r="I55" s="166" t="s">
        <v>507</v>
      </c>
      <c r="L55" s="313" t="s">
        <v>313</v>
      </c>
      <c r="M55" s="326" t="s">
        <v>508</v>
      </c>
      <c r="N55" s="331" t="s">
        <v>315</v>
      </c>
      <c r="O55" s="331" t="s">
        <v>380</v>
      </c>
      <c r="P55" s="332" t="s">
        <v>316</v>
      </c>
      <c r="Q55" s="331" t="s">
        <v>317</v>
      </c>
      <c r="R55" s="337" t="s">
        <v>163</v>
      </c>
      <c r="S55" s="337" t="s">
        <v>163</v>
      </c>
      <c r="T55" s="331" t="s">
        <v>329</v>
      </c>
      <c r="U55" s="341" t="s">
        <v>509</v>
      </c>
      <c r="V55" s="337">
        <v>0</v>
      </c>
      <c r="W55" s="331" t="s">
        <v>163</v>
      </c>
      <c r="X55" s="337" t="s">
        <v>163</v>
      </c>
      <c r="Y55" s="337" t="s">
        <v>163</v>
      </c>
      <c r="Z55" s="337">
        <v>1</v>
      </c>
      <c r="AA55" s="337" t="s">
        <v>163</v>
      </c>
      <c r="AB55" s="337" t="s">
        <v>224</v>
      </c>
      <c r="AC55" s="337" t="s">
        <v>163</v>
      </c>
      <c r="AD55" s="337" t="s">
        <v>320</v>
      </c>
      <c r="AE55" s="348" t="s">
        <v>510</v>
      </c>
      <c r="AF55" s="331" t="s">
        <v>332</v>
      </c>
      <c r="AG55" s="337" t="s">
        <v>163</v>
      </c>
      <c r="AH55" s="337" t="s">
        <v>163</v>
      </c>
      <c r="AI55" s="337" t="s">
        <v>163</v>
      </c>
      <c r="AJ55" s="337" t="s">
        <v>163</v>
      </c>
      <c r="AK55" s="337" t="s">
        <v>163</v>
      </c>
      <c r="AL55" s="337" t="s">
        <v>163</v>
      </c>
      <c r="AM55" s="337" t="s">
        <v>163</v>
      </c>
      <c r="AN55" s="337" t="s">
        <v>163</v>
      </c>
      <c r="AO55" s="337" t="s">
        <v>163</v>
      </c>
      <c r="AP55" s="337" t="s">
        <v>163</v>
      </c>
      <c r="AQ55" s="337" t="s">
        <v>163</v>
      </c>
      <c r="AR55" s="337" t="s">
        <v>163</v>
      </c>
      <c r="AS55" s="337" t="s">
        <v>163</v>
      </c>
      <c r="AT55" s="337" t="s">
        <v>163</v>
      </c>
      <c r="AU55" s="5" t="s">
        <v>494</v>
      </c>
    </row>
    <row r="56" spans="1:47" ht="30.75">
      <c r="A56" s="57" t="s">
        <v>56</v>
      </c>
      <c r="B56" s="57" t="s">
        <v>31</v>
      </c>
      <c r="C56" s="59">
        <v>25</v>
      </c>
      <c r="D56" s="57" t="s">
        <v>511</v>
      </c>
      <c r="F56" s="5" t="s">
        <v>512</v>
      </c>
      <c r="G56" s="64"/>
      <c r="L56" s="312" t="s">
        <v>513</v>
      </c>
      <c r="M56" s="282" t="s">
        <v>514</v>
      </c>
      <c r="N56" s="291" t="s">
        <v>219</v>
      </c>
      <c r="O56" s="291" t="s">
        <v>380</v>
      </c>
      <c r="P56" s="309" t="s">
        <v>214</v>
      </c>
      <c r="Q56" s="291" t="s">
        <v>221</v>
      </c>
      <c r="R56" s="279" t="s">
        <v>515</v>
      </c>
      <c r="S56" s="279" t="s">
        <v>215</v>
      </c>
      <c r="T56" s="291" t="s">
        <v>163</v>
      </c>
      <c r="U56" s="279" t="s">
        <v>163</v>
      </c>
      <c r="V56" s="279">
        <v>0</v>
      </c>
      <c r="W56" s="291" t="s">
        <v>163</v>
      </c>
      <c r="X56" s="279" t="s">
        <v>163</v>
      </c>
      <c r="Y56" s="279" t="s">
        <v>163</v>
      </c>
      <c r="Z56" s="279">
        <v>1</v>
      </c>
      <c r="AA56" s="279" t="s">
        <v>223</v>
      </c>
      <c r="AB56" s="279" t="s">
        <v>224</v>
      </c>
      <c r="AC56" s="279">
        <v>3</v>
      </c>
      <c r="AD56" s="279" t="s">
        <v>225</v>
      </c>
      <c r="AE56" s="280" t="s">
        <v>516</v>
      </c>
      <c r="AF56" s="291" t="s">
        <v>163</v>
      </c>
      <c r="AG56" s="279" t="s">
        <v>163</v>
      </c>
      <c r="AH56" s="279" t="s">
        <v>227</v>
      </c>
      <c r="AI56" s="279" t="s">
        <v>228</v>
      </c>
      <c r="AJ56" s="279" t="s">
        <v>163</v>
      </c>
      <c r="AK56" s="279" t="s">
        <v>163</v>
      </c>
      <c r="AL56" s="279" t="s">
        <v>163</v>
      </c>
      <c r="AM56" s="279" t="s">
        <v>163</v>
      </c>
      <c r="AN56" s="279" t="s">
        <v>163</v>
      </c>
      <c r="AO56" s="279" t="s">
        <v>163</v>
      </c>
      <c r="AP56" s="279" t="s">
        <v>163</v>
      </c>
      <c r="AQ56" s="279" t="s">
        <v>163</v>
      </c>
      <c r="AR56" s="279" t="s">
        <v>163</v>
      </c>
      <c r="AS56" s="279" t="s">
        <v>163</v>
      </c>
      <c r="AT56" s="279" t="s">
        <v>163</v>
      </c>
    </row>
    <row r="57" spans="1:47" ht="106.5">
      <c r="A57" s="57" t="s">
        <v>57</v>
      </c>
      <c r="B57" s="57" t="s">
        <v>31</v>
      </c>
      <c r="C57" s="59">
        <v>26</v>
      </c>
      <c r="D57" s="57" t="s">
        <v>517</v>
      </c>
      <c r="F57" s="5" t="s">
        <v>502</v>
      </c>
      <c r="L57" s="312" t="s">
        <v>313</v>
      </c>
      <c r="M57" s="306" t="s">
        <v>518</v>
      </c>
      <c r="N57" s="304" t="s">
        <v>315</v>
      </c>
      <c r="O57" s="304" t="s">
        <v>380</v>
      </c>
      <c r="P57" s="304" t="s">
        <v>316</v>
      </c>
      <c r="Q57" s="304" t="s">
        <v>317</v>
      </c>
      <c r="R57" s="305" t="s">
        <v>163</v>
      </c>
      <c r="S57" s="305" t="s">
        <v>163</v>
      </c>
      <c r="T57" s="304" t="s">
        <v>329</v>
      </c>
      <c r="U57" s="341" t="s">
        <v>519</v>
      </c>
      <c r="V57" s="305">
        <v>0</v>
      </c>
      <c r="W57" s="304" t="s">
        <v>163</v>
      </c>
      <c r="X57" s="305" t="s">
        <v>163</v>
      </c>
      <c r="Y57" s="305" t="s">
        <v>163</v>
      </c>
      <c r="Z57" s="305">
        <v>1</v>
      </c>
      <c r="AA57" s="305" t="s">
        <v>163</v>
      </c>
      <c r="AB57" s="305" t="s">
        <v>224</v>
      </c>
      <c r="AC57" s="305" t="s">
        <v>163</v>
      </c>
      <c r="AD57" s="305" t="s">
        <v>320</v>
      </c>
      <c r="AE57" s="307" t="s">
        <v>520</v>
      </c>
      <c r="AF57" s="304" t="s">
        <v>332</v>
      </c>
      <c r="AG57" s="305" t="s">
        <v>163</v>
      </c>
      <c r="AH57" s="305" t="s">
        <v>163</v>
      </c>
      <c r="AI57" s="305" t="s">
        <v>163</v>
      </c>
      <c r="AJ57" s="305" t="s">
        <v>163</v>
      </c>
      <c r="AK57" s="305" t="s">
        <v>163</v>
      </c>
      <c r="AL57" s="305" t="s">
        <v>163</v>
      </c>
      <c r="AM57" s="305" t="s">
        <v>163</v>
      </c>
      <c r="AN57" s="305" t="s">
        <v>163</v>
      </c>
      <c r="AO57" s="305" t="s">
        <v>163</v>
      </c>
      <c r="AP57" s="305" t="s">
        <v>163</v>
      </c>
      <c r="AQ57" s="305" t="s">
        <v>163</v>
      </c>
      <c r="AR57" s="305" t="s">
        <v>163</v>
      </c>
      <c r="AS57" s="305" t="s">
        <v>163</v>
      </c>
      <c r="AT57" s="305" t="s">
        <v>163</v>
      </c>
    </row>
    <row r="58" spans="1:47" ht="45.75">
      <c r="A58" s="58" t="s">
        <v>58</v>
      </c>
      <c r="B58" s="57" t="s">
        <v>31</v>
      </c>
      <c r="C58" s="65">
        <v>27</v>
      </c>
      <c r="D58" s="57" t="s">
        <v>521</v>
      </c>
      <c r="F58" s="5" t="s">
        <v>522</v>
      </c>
      <c r="G58" s="44" t="s">
        <v>523</v>
      </c>
      <c r="L58" s="312" t="s">
        <v>313</v>
      </c>
      <c r="M58" s="306" t="s">
        <v>524</v>
      </c>
      <c r="N58" s="304" t="s">
        <v>315</v>
      </c>
      <c r="O58" s="304" t="s">
        <v>380</v>
      </c>
      <c r="P58" s="304" t="s">
        <v>316</v>
      </c>
      <c r="Q58" s="304" t="s">
        <v>317</v>
      </c>
      <c r="R58" s="305" t="s">
        <v>163</v>
      </c>
      <c r="S58" s="305" t="s">
        <v>163</v>
      </c>
      <c r="T58" s="304" t="s">
        <v>329</v>
      </c>
      <c r="U58" s="341" t="s">
        <v>372</v>
      </c>
      <c r="V58" s="305">
        <v>0</v>
      </c>
      <c r="W58" s="304" t="s">
        <v>525</v>
      </c>
      <c r="X58" s="305" t="s">
        <v>163</v>
      </c>
      <c r="Y58" s="305" t="s">
        <v>526</v>
      </c>
      <c r="Z58" s="305">
        <v>1</v>
      </c>
      <c r="AA58" s="305" t="s">
        <v>163</v>
      </c>
      <c r="AB58" s="305" t="s">
        <v>224</v>
      </c>
      <c r="AC58" s="305" t="s">
        <v>163</v>
      </c>
      <c r="AD58" s="305" t="s">
        <v>320</v>
      </c>
      <c r="AE58" s="307" t="s">
        <v>527</v>
      </c>
      <c r="AF58" s="304" t="s">
        <v>332</v>
      </c>
      <c r="AG58" s="305" t="s">
        <v>163</v>
      </c>
      <c r="AH58" s="305" t="s">
        <v>163</v>
      </c>
      <c r="AI58" s="305" t="s">
        <v>163</v>
      </c>
      <c r="AJ58" s="305" t="s">
        <v>163</v>
      </c>
      <c r="AK58" s="305" t="s">
        <v>163</v>
      </c>
      <c r="AL58" s="305" t="s">
        <v>163</v>
      </c>
      <c r="AM58" s="305" t="s">
        <v>163</v>
      </c>
      <c r="AN58" s="305" t="s">
        <v>163</v>
      </c>
      <c r="AO58" s="305" t="s">
        <v>163</v>
      </c>
      <c r="AP58" s="305" t="s">
        <v>163</v>
      </c>
      <c r="AQ58" s="305" t="s">
        <v>163</v>
      </c>
      <c r="AR58" s="305" t="s">
        <v>163</v>
      </c>
      <c r="AS58" s="305" t="s">
        <v>163</v>
      </c>
      <c r="AT58" s="305" t="s">
        <v>163</v>
      </c>
    </row>
    <row r="59" spans="1:47" ht="30.75">
      <c r="A59" s="57" t="s">
        <v>59</v>
      </c>
      <c r="B59" s="57" t="s">
        <v>31</v>
      </c>
      <c r="C59" s="59">
        <v>28</v>
      </c>
      <c r="D59" s="58" t="s">
        <v>528</v>
      </c>
      <c r="F59" s="5" t="s">
        <v>529</v>
      </c>
      <c r="L59" s="312" t="s">
        <v>313</v>
      </c>
      <c r="M59" s="306" t="s">
        <v>530</v>
      </c>
      <c r="N59" s="304" t="s">
        <v>315</v>
      </c>
      <c r="O59" s="304" t="s">
        <v>380</v>
      </c>
      <c r="P59" s="304" t="s">
        <v>316</v>
      </c>
      <c r="Q59" s="304" t="s">
        <v>317</v>
      </c>
      <c r="R59" s="305" t="s">
        <v>163</v>
      </c>
      <c r="S59" s="305" t="s">
        <v>163</v>
      </c>
      <c r="T59" s="304" t="s">
        <v>329</v>
      </c>
      <c r="U59" s="341" t="s">
        <v>531</v>
      </c>
      <c r="V59" s="305">
        <v>0</v>
      </c>
      <c r="W59" s="304" t="s">
        <v>163</v>
      </c>
      <c r="X59" s="305" t="s">
        <v>163</v>
      </c>
      <c r="Y59" s="305" t="s">
        <v>163</v>
      </c>
      <c r="Z59" s="305">
        <v>1</v>
      </c>
      <c r="AA59" s="305" t="s">
        <v>163</v>
      </c>
      <c r="AB59" s="305" t="s">
        <v>224</v>
      </c>
      <c r="AC59" s="305" t="s">
        <v>163</v>
      </c>
      <c r="AD59" s="305" t="s">
        <v>320</v>
      </c>
      <c r="AE59" s="307" t="s">
        <v>532</v>
      </c>
      <c r="AF59" s="304" t="s">
        <v>332</v>
      </c>
      <c r="AG59" s="305" t="s">
        <v>163</v>
      </c>
      <c r="AH59" s="305" t="s">
        <v>163</v>
      </c>
      <c r="AI59" s="305" t="s">
        <v>163</v>
      </c>
      <c r="AJ59" s="305" t="s">
        <v>163</v>
      </c>
      <c r="AK59" s="305" t="s">
        <v>163</v>
      </c>
      <c r="AL59" s="305" t="s">
        <v>163</v>
      </c>
      <c r="AM59" s="305" t="s">
        <v>163</v>
      </c>
      <c r="AN59" s="305" t="s">
        <v>163</v>
      </c>
      <c r="AO59" s="305" t="s">
        <v>163</v>
      </c>
      <c r="AP59" s="305" t="s">
        <v>163</v>
      </c>
      <c r="AQ59" s="305" t="s">
        <v>163</v>
      </c>
      <c r="AR59" s="305" t="s">
        <v>163</v>
      </c>
      <c r="AS59" s="305" t="s">
        <v>163</v>
      </c>
      <c r="AT59" s="305" t="s">
        <v>163</v>
      </c>
    </row>
    <row r="60" spans="1:47" ht="152.25">
      <c r="A60" s="66" t="s">
        <v>60</v>
      </c>
      <c r="B60" s="57" t="s">
        <v>31</v>
      </c>
      <c r="C60" s="67">
        <v>29</v>
      </c>
      <c r="D60" s="57" t="s">
        <v>533</v>
      </c>
      <c r="F60" s="2" t="s">
        <v>534</v>
      </c>
      <c r="G60" s="45" t="s">
        <v>535</v>
      </c>
      <c r="L60" s="312" t="s">
        <v>313</v>
      </c>
      <c r="M60" s="282" t="s">
        <v>536</v>
      </c>
      <c r="N60" s="291" t="s">
        <v>219</v>
      </c>
      <c r="O60" s="291" t="s">
        <v>380</v>
      </c>
      <c r="P60" s="291" t="s">
        <v>214</v>
      </c>
      <c r="Q60" s="291" t="s">
        <v>221</v>
      </c>
      <c r="R60" s="279" t="s">
        <v>537</v>
      </c>
      <c r="S60" s="279" t="s">
        <v>215</v>
      </c>
      <c r="T60" s="291" t="s">
        <v>163</v>
      </c>
      <c r="U60" s="279" t="s">
        <v>163</v>
      </c>
      <c r="V60" s="279">
        <v>1</v>
      </c>
      <c r="W60" s="291" t="s">
        <v>538</v>
      </c>
      <c r="X60" s="279" t="s">
        <v>163</v>
      </c>
      <c r="Y60" s="279" t="s">
        <v>163</v>
      </c>
      <c r="Z60" s="279">
        <v>1</v>
      </c>
      <c r="AA60" s="279" t="s">
        <v>223</v>
      </c>
      <c r="AB60" s="279" t="s">
        <v>224</v>
      </c>
      <c r="AC60" s="279">
        <v>3</v>
      </c>
      <c r="AD60" s="279" t="s">
        <v>225</v>
      </c>
      <c r="AE60" s="280" t="s">
        <v>539</v>
      </c>
      <c r="AF60" s="291" t="s">
        <v>163</v>
      </c>
      <c r="AG60" s="279" t="s">
        <v>163</v>
      </c>
      <c r="AH60" s="279" t="s">
        <v>227</v>
      </c>
      <c r="AI60" s="279" t="s">
        <v>228</v>
      </c>
      <c r="AJ60" s="279" t="s">
        <v>163</v>
      </c>
      <c r="AK60" s="279" t="s">
        <v>163</v>
      </c>
      <c r="AL60" s="279" t="s">
        <v>163</v>
      </c>
      <c r="AM60" s="279" t="s">
        <v>163</v>
      </c>
      <c r="AN60" s="279" t="s">
        <v>163</v>
      </c>
      <c r="AO60" s="279" t="s">
        <v>163</v>
      </c>
      <c r="AP60" s="279" t="s">
        <v>163</v>
      </c>
      <c r="AQ60" s="279" t="s">
        <v>163</v>
      </c>
      <c r="AR60" s="279" t="s">
        <v>163</v>
      </c>
      <c r="AS60" s="279" t="s">
        <v>163</v>
      </c>
      <c r="AT60" s="279" t="s">
        <v>163</v>
      </c>
      <c r="AU60" s="5" t="s">
        <v>494</v>
      </c>
    </row>
    <row r="61" spans="1:47" ht="290.25">
      <c r="A61" s="57" t="s">
        <v>61</v>
      </c>
      <c r="B61" s="57" t="s">
        <v>31</v>
      </c>
      <c r="C61" s="59">
        <v>31</v>
      </c>
      <c r="D61" s="57" t="s">
        <v>540</v>
      </c>
      <c r="F61" s="5" t="s">
        <v>541</v>
      </c>
      <c r="G61" s="47" t="s">
        <v>542</v>
      </c>
      <c r="H61" s="5" t="s">
        <v>386</v>
      </c>
      <c r="I61" s="5" t="s">
        <v>386</v>
      </c>
      <c r="L61" s="312" t="s">
        <v>543</v>
      </c>
      <c r="M61" s="282" t="s">
        <v>544</v>
      </c>
      <c r="N61" s="291" t="s">
        <v>219</v>
      </c>
      <c r="O61" s="291" t="s">
        <v>380</v>
      </c>
      <c r="P61" s="291" t="s">
        <v>214</v>
      </c>
      <c r="Q61" s="291" t="s">
        <v>221</v>
      </c>
      <c r="R61" s="279" t="s">
        <v>545</v>
      </c>
      <c r="S61" s="279" t="s">
        <v>215</v>
      </c>
      <c r="T61" s="291" t="s">
        <v>163</v>
      </c>
      <c r="U61" s="279" t="s">
        <v>163</v>
      </c>
      <c r="V61" s="279">
        <v>1</v>
      </c>
      <c r="W61" s="291" t="s">
        <v>538</v>
      </c>
      <c r="X61" s="279" t="s">
        <v>163</v>
      </c>
      <c r="Y61" s="279" t="s">
        <v>163</v>
      </c>
      <c r="Z61" s="279">
        <v>1</v>
      </c>
      <c r="AA61" s="279" t="s">
        <v>223</v>
      </c>
      <c r="AB61" s="279" t="s">
        <v>224</v>
      </c>
      <c r="AC61" s="279">
        <v>3</v>
      </c>
      <c r="AD61" s="279" t="s">
        <v>225</v>
      </c>
      <c r="AE61" s="280" t="s">
        <v>546</v>
      </c>
      <c r="AF61" s="291" t="s">
        <v>163</v>
      </c>
      <c r="AG61" s="279" t="s">
        <v>163</v>
      </c>
      <c r="AH61" s="279" t="s">
        <v>227</v>
      </c>
      <c r="AI61" s="279" t="s">
        <v>228</v>
      </c>
      <c r="AJ61" s="279" t="s">
        <v>163</v>
      </c>
      <c r="AK61" s="279" t="s">
        <v>163</v>
      </c>
      <c r="AL61" s="279" t="s">
        <v>163</v>
      </c>
      <c r="AM61" s="279" t="s">
        <v>163</v>
      </c>
      <c r="AN61" s="279" t="s">
        <v>163</v>
      </c>
      <c r="AO61" s="279" t="s">
        <v>163</v>
      </c>
      <c r="AP61" s="279" t="s">
        <v>163</v>
      </c>
      <c r="AQ61" s="279" t="s">
        <v>163</v>
      </c>
      <c r="AR61" s="279" t="s">
        <v>163</v>
      </c>
      <c r="AS61" s="279" t="s">
        <v>163</v>
      </c>
      <c r="AT61" s="279" t="s">
        <v>163</v>
      </c>
    </row>
    <row r="62" spans="1:47" s="2" customFormat="1" ht="409.6">
      <c r="A62" s="57" t="s">
        <v>62</v>
      </c>
      <c r="B62" s="57"/>
      <c r="C62" s="59">
        <v>1</v>
      </c>
      <c r="D62" s="88" t="s">
        <v>547</v>
      </c>
      <c r="E62" s="76"/>
      <c r="F62" s="57" t="s">
        <v>548</v>
      </c>
      <c r="G62" s="46" t="s">
        <v>385</v>
      </c>
      <c r="I62" s="2" t="s">
        <v>386</v>
      </c>
      <c r="L62" s="313" t="s">
        <v>313</v>
      </c>
      <c r="M62" s="326" t="s">
        <v>549</v>
      </c>
      <c r="N62" s="331" t="s">
        <v>315</v>
      </c>
      <c r="O62" s="331" t="s">
        <v>163</v>
      </c>
      <c r="P62" s="331" t="s">
        <v>316</v>
      </c>
      <c r="Q62" s="331" t="s">
        <v>371</v>
      </c>
      <c r="R62" s="337" t="s">
        <v>163</v>
      </c>
      <c r="S62" s="337" t="s">
        <v>163</v>
      </c>
      <c r="T62" s="331" t="s">
        <v>550</v>
      </c>
      <c r="U62" s="341" t="s">
        <v>551</v>
      </c>
      <c r="V62" s="337">
        <v>1</v>
      </c>
      <c r="W62" s="349">
        <v>3.472222222222222E-3</v>
      </c>
      <c r="X62" s="337" t="s">
        <v>163</v>
      </c>
      <c r="Y62" s="337" t="s">
        <v>163</v>
      </c>
      <c r="Z62" s="337">
        <v>1</v>
      </c>
      <c r="AA62" s="337" t="s">
        <v>163</v>
      </c>
      <c r="AB62" s="337" t="s">
        <v>224</v>
      </c>
      <c r="AC62" s="337" t="s">
        <v>163</v>
      </c>
      <c r="AD62" s="337" t="s">
        <v>320</v>
      </c>
      <c r="AE62" s="348" t="s">
        <v>552</v>
      </c>
      <c r="AF62" s="331" t="s">
        <v>332</v>
      </c>
      <c r="AG62" s="337" t="s">
        <v>163</v>
      </c>
      <c r="AH62" s="337" t="s">
        <v>163</v>
      </c>
      <c r="AI62" s="337" t="s">
        <v>163</v>
      </c>
      <c r="AJ62" s="337" t="s">
        <v>163</v>
      </c>
      <c r="AK62" s="337" t="s">
        <v>163</v>
      </c>
      <c r="AL62" s="337" t="s">
        <v>163</v>
      </c>
      <c r="AM62" s="337" t="s">
        <v>163</v>
      </c>
      <c r="AN62" s="337" t="s">
        <v>163</v>
      </c>
      <c r="AO62" s="337" t="s">
        <v>163</v>
      </c>
      <c r="AP62" s="337" t="s">
        <v>163</v>
      </c>
      <c r="AQ62" s="337" t="s">
        <v>163</v>
      </c>
      <c r="AR62" s="337" t="s">
        <v>163</v>
      </c>
      <c r="AS62" s="337" t="s">
        <v>163</v>
      </c>
      <c r="AT62" s="337" t="s">
        <v>163</v>
      </c>
    </row>
    <row r="63" spans="1:47" ht="106.5">
      <c r="A63" s="57" t="s">
        <v>63</v>
      </c>
      <c r="B63" s="62" t="s">
        <v>553</v>
      </c>
      <c r="C63" s="59"/>
      <c r="D63" s="5" t="s">
        <v>554</v>
      </c>
      <c r="F63" s="5" t="s">
        <v>555</v>
      </c>
      <c r="L63" s="304" t="s">
        <v>500</v>
      </c>
      <c r="M63" s="306" t="s">
        <v>556</v>
      </c>
      <c r="N63" s="304" t="s">
        <v>315</v>
      </c>
      <c r="O63" s="304" t="s">
        <v>163</v>
      </c>
      <c r="P63" s="304" t="s">
        <v>316</v>
      </c>
      <c r="Q63" s="304" t="s">
        <v>371</v>
      </c>
      <c r="R63" s="305" t="s">
        <v>163</v>
      </c>
      <c r="S63" s="305" t="s">
        <v>163</v>
      </c>
      <c r="T63" s="304" t="s">
        <v>557</v>
      </c>
      <c r="U63" s="307" t="s">
        <v>558</v>
      </c>
      <c r="V63" s="305">
        <v>0</v>
      </c>
      <c r="W63" s="304" t="s">
        <v>163</v>
      </c>
      <c r="X63" s="305" t="s">
        <v>163</v>
      </c>
      <c r="Y63" s="305" t="s">
        <v>163</v>
      </c>
      <c r="Z63" s="305">
        <v>1</v>
      </c>
      <c r="AA63" s="305" t="s">
        <v>163</v>
      </c>
      <c r="AB63" s="305" t="s">
        <v>224</v>
      </c>
      <c r="AC63" s="305" t="s">
        <v>163</v>
      </c>
      <c r="AD63" s="305" t="s">
        <v>320</v>
      </c>
      <c r="AE63" s="307" t="s">
        <v>559</v>
      </c>
      <c r="AF63" s="304" t="s">
        <v>332</v>
      </c>
      <c r="AG63" s="305" t="s">
        <v>163</v>
      </c>
      <c r="AH63" s="305" t="s">
        <v>163</v>
      </c>
      <c r="AI63" s="305" t="s">
        <v>163</v>
      </c>
      <c r="AJ63" s="305" t="s">
        <v>163</v>
      </c>
      <c r="AK63" s="305" t="s">
        <v>163</v>
      </c>
      <c r="AL63" s="305" t="s">
        <v>163</v>
      </c>
      <c r="AM63" s="305" t="s">
        <v>163</v>
      </c>
      <c r="AN63" s="305" t="s">
        <v>163</v>
      </c>
      <c r="AO63" s="305" t="s">
        <v>163</v>
      </c>
      <c r="AP63" s="305" t="s">
        <v>163</v>
      </c>
      <c r="AQ63" s="305" t="s">
        <v>163</v>
      </c>
      <c r="AR63" s="305" t="s">
        <v>163</v>
      </c>
      <c r="AS63" s="305" t="s">
        <v>163</v>
      </c>
      <c r="AT63" s="305" t="s">
        <v>163</v>
      </c>
    </row>
    <row r="64" spans="1:47" ht="91.5">
      <c r="A64" s="57" t="s">
        <v>64</v>
      </c>
      <c r="B64" s="62" t="s">
        <v>553</v>
      </c>
      <c r="C64" s="59"/>
      <c r="D64" s="5" t="s">
        <v>560</v>
      </c>
      <c r="F64" s="5" t="s">
        <v>561</v>
      </c>
      <c r="L64" s="315" t="s">
        <v>562</v>
      </c>
      <c r="M64" s="323" t="s">
        <v>563</v>
      </c>
      <c r="N64" s="315" t="s">
        <v>219</v>
      </c>
      <c r="O64" s="315" t="s">
        <v>163</v>
      </c>
      <c r="P64" s="315" t="s">
        <v>214</v>
      </c>
      <c r="Q64" s="315" t="s">
        <v>221</v>
      </c>
      <c r="R64" s="334" t="s">
        <v>564</v>
      </c>
      <c r="S64" s="334" t="s">
        <v>565</v>
      </c>
      <c r="T64" s="315" t="s">
        <v>163</v>
      </c>
      <c r="U64" s="334" t="s">
        <v>163</v>
      </c>
      <c r="V64" s="334">
        <v>1</v>
      </c>
      <c r="W64" s="350">
        <v>0.79166666666666663</v>
      </c>
      <c r="X64" s="334" t="s">
        <v>163</v>
      </c>
      <c r="Y64" s="334" t="s">
        <v>163</v>
      </c>
      <c r="Z64" s="334">
        <v>1</v>
      </c>
      <c r="AA64" s="334" t="s">
        <v>223</v>
      </c>
      <c r="AB64" s="334" t="s">
        <v>224</v>
      </c>
      <c r="AC64" s="334">
        <v>3</v>
      </c>
      <c r="AD64" s="334" t="s">
        <v>320</v>
      </c>
      <c r="AE64" s="345" t="s">
        <v>566</v>
      </c>
      <c r="AF64" s="315" t="s">
        <v>163</v>
      </c>
      <c r="AG64" s="334" t="s">
        <v>163</v>
      </c>
      <c r="AH64" s="334" t="s">
        <v>227</v>
      </c>
      <c r="AI64" s="334" t="s">
        <v>228</v>
      </c>
      <c r="AJ64" s="334" t="s">
        <v>163</v>
      </c>
      <c r="AK64" s="334" t="s">
        <v>163</v>
      </c>
      <c r="AL64" s="334" t="s">
        <v>163</v>
      </c>
      <c r="AM64" s="334" t="s">
        <v>163</v>
      </c>
      <c r="AN64" s="334" t="s">
        <v>163</v>
      </c>
      <c r="AO64" s="334" t="s">
        <v>163</v>
      </c>
      <c r="AP64" s="334" t="s">
        <v>163</v>
      </c>
      <c r="AQ64" s="334" t="s">
        <v>163</v>
      </c>
      <c r="AR64" s="334" t="s">
        <v>163</v>
      </c>
      <c r="AS64" s="334" t="s">
        <v>163</v>
      </c>
      <c r="AT64" s="334" t="s">
        <v>163</v>
      </c>
    </row>
    <row r="65" spans="1:46" ht="45.75">
      <c r="A65" s="58" t="s">
        <v>65</v>
      </c>
      <c r="B65" s="58"/>
      <c r="C65" s="65"/>
      <c r="D65" s="5" t="s">
        <v>211</v>
      </c>
      <c r="E65" s="80">
        <v>3.472222222222222E-3</v>
      </c>
      <c r="F65" s="5" t="s">
        <v>567</v>
      </c>
      <c r="G65" s="52" t="s">
        <v>486</v>
      </c>
      <c r="L65" s="291" t="s">
        <v>163</v>
      </c>
      <c r="M65" s="282" t="s">
        <v>568</v>
      </c>
      <c r="N65" s="291" t="s">
        <v>213</v>
      </c>
      <c r="O65" s="291" t="s">
        <v>163</v>
      </c>
      <c r="P65" s="291" t="s">
        <v>569</v>
      </c>
      <c r="Q65" s="291" t="s">
        <v>163</v>
      </c>
      <c r="R65" s="279" t="s">
        <v>163</v>
      </c>
      <c r="S65" s="279" t="s">
        <v>215</v>
      </c>
      <c r="T65" s="291" t="s">
        <v>163</v>
      </c>
      <c r="U65" s="279" t="s">
        <v>163</v>
      </c>
      <c r="V65" s="279">
        <v>1</v>
      </c>
      <c r="W65" s="344">
        <v>4.1666666666666664E-2</v>
      </c>
      <c r="X65" s="279" t="s">
        <v>163</v>
      </c>
      <c r="Y65" s="279" t="s">
        <v>163</v>
      </c>
      <c r="Z65" s="279">
        <v>1</v>
      </c>
      <c r="AA65" s="279" t="s">
        <v>163</v>
      </c>
      <c r="AB65" s="279" t="s">
        <v>163</v>
      </c>
      <c r="AC65" s="279">
        <v>3</v>
      </c>
      <c r="AD65" s="279" t="s">
        <v>163</v>
      </c>
      <c r="AE65" s="280" t="s">
        <v>163</v>
      </c>
      <c r="AF65" s="291" t="s">
        <v>163</v>
      </c>
      <c r="AG65" s="279" t="s">
        <v>163</v>
      </c>
      <c r="AH65" s="279" t="s">
        <v>163</v>
      </c>
      <c r="AI65" s="279" t="s">
        <v>163</v>
      </c>
      <c r="AJ65" s="279" t="s">
        <v>163</v>
      </c>
      <c r="AK65" s="279" t="s">
        <v>163</v>
      </c>
      <c r="AL65" s="279" t="s">
        <v>163</v>
      </c>
      <c r="AM65" s="279" t="s">
        <v>163</v>
      </c>
      <c r="AN65" s="279" t="s">
        <v>163</v>
      </c>
      <c r="AO65" s="279" t="s">
        <v>163</v>
      </c>
      <c r="AP65" s="279" t="s">
        <v>163</v>
      </c>
      <c r="AQ65" s="279" t="s">
        <v>163</v>
      </c>
      <c r="AR65" s="279" t="s">
        <v>163</v>
      </c>
      <c r="AS65" s="279" t="s">
        <v>163</v>
      </c>
      <c r="AT65" s="279" t="s">
        <v>163</v>
      </c>
    </row>
    <row r="66" spans="1:46" ht="30.75" thickBot="1">
      <c r="A66" s="57" t="s">
        <v>66</v>
      </c>
      <c r="B66" s="57"/>
      <c r="C66" s="59">
        <v>1</v>
      </c>
      <c r="D66" s="81" t="s">
        <v>211</v>
      </c>
      <c r="E66" s="80">
        <v>0.79166666666666663</v>
      </c>
      <c r="F66" s="5" t="s">
        <v>570</v>
      </c>
      <c r="L66" s="315" t="s">
        <v>357</v>
      </c>
      <c r="M66" s="323" t="s">
        <v>571</v>
      </c>
      <c r="N66" s="315" t="s">
        <v>213</v>
      </c>
      <c r="O66" s="315" t="s">
        <v>163</v>
      </c>
      <c r="P66" s="315" t="s">
        <v>214</v>
      </c>
      <c r="Q66" s="315" t="s">
        <v>163</v>
      </c>
      <c r="R66" s="334" t="s">
        <v>163</v>
      </c>
      <c r="S66" s="334" t="s">
        <v>215</v>
      </c>
      <c r="T66" s="315" t="s">
        <v>163</v>
      </c>
      <c r="U66" s="334" t="s">
        <v>163</v>
      </c>
      <c r="V66" s="334">
        <v>0</v>
      </c>
      <c r="W66" s="315" t="s">
        <v>163</v>
      </c>
      <c r="X66" s="334" t="s">
        <v>163</v>
      </c>
      <c r="Y66" s="334" t="s">
        <v>163</v>
      </c>
      <c r="Z66" s="334">
        <v>1</v>
      </c>
      <c r="AA66" s="334" t="s">
        <v>163</v>
      </c>
      <c r="AB66" s="334" t="s">
        <v>163</v>
      </c>
      <c r="AC66" s="334">
        <v>3</v>
      </c>
      <c r="AD66" s="334" t="s">
        <v>163</v>
      </c>
      <c r="AE66" s="345" t="s">
        <v>163</v>
      </c>
      <c r="AF66" s="315" t="s">
        <v>163</v>
      </c>
      <c r="AG66" s="334" t="s">
        <v>163</v>
      </c>
      <c r="AH66" s="334" t="s">
        <v>163</v>
      </c>
      <c r="AI66" s="334" t="s">
        <v>163</v>
      </c>
      <c r="AJ66" s="334" t="s">
        <v>163</v>
      </c>
      <c r="AK66" s="334" t="s">
        <v>163</v>
      </c>
      <c r="AL66" s="334" t="s">
        <v>163</v>
      </c>
      <c r="AM66" s="334" t="s">
        <v>163</v>
      </c>
      <c r="AN66" s="334" t="s">
        <v>163</v>
      </c>
      <c r="AO66" s="334" t="s">
        <v>163</v>
      </c>
      <c r="AP66" s="334" t="s">
        <v>163</v>
      </c>
      <c r="AQ66" s="334" t="s">
        <v>163</v>
      </c>
      <c r="AR66" s="334" t="s">
        <v>163</v>
      </c>
      <c r="AS66" s="334" t="s">
        <v>163</v>
      </c>
      <c r="AT66" s="334" t="s">
        <v>163</v>
      </c>
    </row>
    <row r="67" spans="1:46" ht="30.75" thickBot="1">
      <c r="A67" s="58" t="s">
        <v>67</v>
      </c>
      <c r="B67" s="58"/>
      <c r="C67" s="65">
        <v>1</v>
      </c>
      <c r="D67" s="79" t="s">
        <v>211</v>
      </c>
      <c r="E67" s="80">
        <v>0.98958333333333337</v>
      </c>
      <c r="F67" s="5" t="s">
        <v>572</v>
      </c>
      <c r="L67" s="291" t="s">
        <v>261</v>
      </c>
      <c r="M67" s="282" t="s">
        <v>573</v>
      </c>
      <c r="N67" s="291" t="s">
        <v>219</v>
      </c>
      <c r="O67" s="291" t="s">
        <v>574</v>
      </c>
      <c r="P67" s="309" t="s">
        <v>214</v>
      </c>
      <c r="Q67" s="291" t="s">
        <v>221</v>
      </c>
      <c r="R67" s="279" t="s">
        <v>264</v>
      </c>
      <c r="S67" s="279" t="s">
        <v>215</v>
      </c>
      <c r="T67" s="291" t="s">
        <v>163</v>
      </c>
      <c r="U67" s="279" t="s">
        <v>163</v>
      </c>
      <c r="V67" s="279">
        <v>0</v>
      </c>
      <c r="W67" s="291" t="s">
        <v>163</v>
      </c>
      <c r="X67" s="279" t="s">
        <v>163</v>
      </c>
      <c r="Y67" s="279" t="s">
        <v>163</v>
      </c>
      <c r="Z67" s="279">
        <v>1</v>
      </c>
      <c r="AA67" s="279" t="s">
        <v>223</v>
      </c>
      <c r="AB67" s="279" t="s">
        <v>224</v>
      </c>
      <c r="AC67" s="279">
        <v>3</v>
      </c>
      <c r="AD67" s="279" t="s">
        <v>225</v>
      </c>
      <c r="AE67" s="280" t="s">
        <v>575</v>
      </c>
      <c r="AF67" s="291" t="s">
        <v>163</v>
      </c>
      <c r="AG67" s="279" t="s">
        <v>163</v>
      </c>
      <c r="AH67" s="279" t="s">
        <v>227</v>
      </c>
      <c r="AI67" s="279" t="s">
        <v>228</v>
      </c>
      <c r="AJ67" s="279" t="s">
        <v>163</v>
      </c>
      <c r="AK67" s="279" t="s">
        <v>163</v>
      </c>
      <c r="AL67" s="279" t="s">
        <v>163</v>
      </c>
      <c r="AM67" s="279" t="s">
        <v>163</v>
      </c>
      <c r="AN67" s="279" t="s">
        <v>163</v>
      </c>
      <c r="AO67" s="279" t="s">
        <v>163</v>
      </c>
      <c r="AP67" s="279" t="s">
        <v>163</v>
      </c>
      <c r="AQ67" s="279" t="s">
        <v>163</v>
      </c>
      <c r="AR67" s="279" t="s">
        <v>163</v>
      </c>
      <c r="AS67" s="279" t="s">
        <v>163</v>
      </c>
      <c r="AT67" s="279" t="s">
        <v>163</v>
      </c>
    </row>
    <row r="68" spans="1:46" s="57" customFormat="1" ht="409.6">
      <c r="A68" s="57" t="s">
        <v>68</v>
      </c>
      <c r="B68" s="58"/>
      <c r="C68" s="65">
        <v>1</v>
      </c>
      <c r="D68" s="57" t="s">
        <v>266</v>
      </c>
      <c r="E68" s="76"/>
      <c r="F68" s="57" t="s">
        <v>548</v>
      </c>
      <c r="G68" s="93" t="s">
        <v>385</v>
      </c>
      <c r="I68" s="57" t="s">
        <v>386</v>
      </c>
      <c r="L68" s="291" t="s">
        <v>267</v>
      </c>
      <c r="M68" s="282" t="s">
        <v>268</v>
      </c>
      <c r="N68" s="291" t="s">
        <v>219</v>
      </c>
      <c r="O68" s="291" t="s">
        <v>574</v>
      </c>
      <c r="P68" s="309" t="s">
        <v>214</v>
      </c>
      <c r="Q68" s="291" t="s">
        <v>221</v>
      </c>
      <c r="R68" s="279" t="s">
        <v>269</v>
      </c>
      <c r="S68" s="279" t="s">
        <v>215</v>
      </c>
      <c r="T68" s="291" t="s">
        <v>163</v>
      </c>
      <c r="U68" s="279" t="s">
        <v>163</v>
      </c>
      <c r="V68" s="279">
        <v>0</v>
      </c>
      <c r="W68" s="291" t="s">
        <v>163</v>
      </c>
      <c r="X68" s="279" t="s">
        <v>163</v>
      </c>
      <c r="Y68" s="279" t="s">
        <v>163</v>
      </c>
      <c r="Z68" s="279">
        <v>1</v>
      </c>
      <c r="AA68" s="279" t="s">
        <v>223</v>
      </c>
      <c r="AB68" s="279" t="s">
        <v>224</v>
      </c>
      <c r="AC68" s="279">
        <v>3</v>
      </c>
      <c r="AD68" s="279" t="s">
        <v>225</v>
      </c>
      <c r="AE68" s="280" t="s">
        <v>576</v>
      </c>
      <c r="AF68" s="291" t="s">
        <v>163</v>
      </c>
      <c r="AG68" s="279" t="s">
        <v>163</v>
      </c>
      <c r="AH68" s="279" t="s">
        <v>227</v>
      </c>
      <c r="AI68" s="279" t="s">
        <v>228</v>
      </c>
      <c r="AJ68" s="279" t="s">
        <v>163</v>
      </c>
      <c r="AK68" s="279" t="s">
        <v>163</v>
      </c>
      <c r="AL68" s="279" t="s">
        <v>163</v>
      </c>
      <c r="AM68" s="279" t="s">
        <v>163</v>
      </c>
      <c r="AN68" s="279" t="s">
        <v>163</v>
      </c>
      <c r="AO68" s="279" t="s">
        <v>163</v>
      </c>
      <c r="AP68" s="279" t="s">
        <v>163</v>
      </c>
      <c r="AQ68" s="279" t="s">
        <v>163</v>
      </c>
      <c r="AR68" s="279" t="s">
        <v>163</v>
      </c>
      <c r="AS68" s="279" t="s">
        <v>163</v>
      </c>
      <c r="AT68" s="279" t="s">
        <v>163</v>
      </c>
    </row>
    <row r="69" spans="1:46" ht="45.75">
      <c r="A69" s="57" t="s">
        <v>553</v>
      </c>
      <c r="B69" s="57"/>
      <c r="C69" s="59"/>
      <c r="L69" s="291" t="s">
        <v>272</v>
      </c>
      <c r="M69" s="282" t="s">
        <v>273</v>
      </c>
      <c r="N69" s="291" t="s">
        <v>219</v>
      </c>
      <c r="O69" s="291" t="s">
        <v>574</v>
      </c>
      <c r="P69" s="309" t="s">
        <v>214</v>
      </c>
      <c r="Q69" s="291" t="s">
        <v>221</v>
      </c>
      <c r="R69" s="279" t="s">
        <v>274</v>
      </c>
      <c r="S69" s="279" t="s">
        <v>215</v>
      </c>
      <c r="T69" s="291" t="s">
        <v>163</v>
      </c>
      <c r="U69" s="279" t="s">
        <v>163</v>
      </c>
      <c r="V69" s="279">
        <v>0</v>
      </c>
      <c r="W69" s="291" t="s">
        <v>163</v>
      </c>
      <c r="X69" s="279" t="s">
        <v>163</v>
      </c>
      <c r="Y69" s="279" t="s">
        <v>163</v>
      </c>
      <c r="Z69" s="279">
        <v>1</v>
      </c>
      <c r="AA69" s="279" t="s">
        <v>223</v>
      </c>
      <c r="AB69" s="279" t="s">
        <v>224</v>
      </c>
      <c r="AC69" s="279">
        <v>3</v>
      </c>
      <c r="AD69" s="279" t="s">
        <v>225</v>
      </c>
      <c r="AE69" s="280" t="s">
        <v>577</v>
      </c>
      <c r="AF69" s="291" t="s">
        <v>163</v>
      </c>
      <c r="AG69" s="279" t="s">
        <v>163</v>
      </c>
      <c r="AH69" s="279" t="s">
        <v>227</v>
      </c>
      <c r="AI69" s="279" t="s">
        <v>228</v>
      </c>
      <c r="AJ69" s="279" t="s">
        <v>163</v>
      </c>
      <c r="AK69" s="279" t="s">
        <v>163</v>
      </c>
      <c r="AL69" s="279" t="s">
        <v>163</v>
      </c>
      <c r="AM69" s="279" t="s">
        <v>163</v>
      </c>
      <c r="AN69" s="279" t="s">
        <v>163</v>
      </c>
      <c r="AO69" s="279" t="s">
        <v>163</v>
      </c>
      <c r="AP69" s="279" t="s">
        <v>163</v>
      </c>
      <c r="AQ69" s="279" t="s">
        <v>163</v>
      </c>
      <c r="AR69" s="279" t="s">
        <v>163</v>
      </c>
      <c r="AS69" s="279" t="s">
        <v>163</v>
      </c>
      <c r="AT69" s="279" t="s">
        <v>163</v>
      </c>
    </row>
    <row r="70" spans="1:46" ht="45.75">
      <c r="A70" s="58" t="s">
        <v>69</v>
      </c>
      <c r="B70" s="58"/>
      <c r="C70" s="65"/>
      <c r="L70" s="291" t="s">
        <v>278</v>
      </c>
      <c r="M70" s="282" t="s">
        <v>279</v>
      </c>
      <c r="N70" s="291" t="s">
        <v>219</v>
      </c>
      <c r="O70" s="291" t="s">
        <v>574</v>
      </c>
      <c r="P70" s="291" t="s">
        <v>214</v>
      </c>
      <c r="Q70" s="291" t="s">
        <v>221</v>
      </c>
      <c r="R70" s="279" t="s">
        <v>280</v>
      </c>
      <c r="S70" s="279" t="s">
        <v>215</v>
      </c>
      <c r="T70" s="291" t="s">
        <v>163</v>
      </c>
      <c r="U70" s="279" t="s">
        <v>163</v>
      </c>
      <c r="V70" s="279">
        <v>0</v>
      </c>
      <c r="W70" s="291" t="s">
        <v>163</v>
      </c>
      <c r="X70" s="279" t="s">
        <v>163</v>
      </c>
      <c r="Y70" s="279" t="s">
        <v>163</v>
      </c>
      <c r="Z70" s="279">
        <v>1</v>
      </c>
      <c r="AA70" s="279" t="s">
        <v>223</v>
      </c>
      <c r="AB70" s="279" t="s">
        <v>224</v>
      </c>
      <c r="AC70" s="279">
        <v>3</v>
      </c>
      <c r="AD70" s="279" t="s">
        <v>225</v>
      </c>
      <c r="AE70" s="280" t="s">
        <v>578</v>
      </c>
      <c r="AF70" s="291" t="s">
        <v>163</v>
      </c>
      <c r="AG70" s="279" t="s">
        <v>163</v>
      </c>
      <c r="AH70" s="279" t="s">
        <v>227</v>
      </c>
      <c r="AI70" s="279" t="s">
        <v>228</v>
      </c>
      <c r="AJ70" s="279" t="s">
        <v>163</v>
      </c>
      <c r="AK70" s="279" t="s">
        <v>163</v>
      </c>
      <c r="AL70" s="279" t="s">
        <v>163</v>
      </c>
      <c r="AM70" s="279" t="s">
        <v>163</v>
      </c>
      <c r="AN70" s="279" t="s">
        <v>163</v>
      </c>
      <c r="AO70" s="279" t="s">
        <v>163</v>
      </c>
      <c r="AP70" s="279" t="s">
        <v>163</v>
      </c>
      <c r="AQ70" s="279" t="s">
        <v>163</v>
      </c>
      <c r="AR70" s="279" t="s">
        <v>163</v>
      </c>
      <c r="AS70" s="279" t="s">
        <v>163</v>
      </c>
      <c r="AT70" s="279" t="s">
        <v>163</v>
      </c>
    </row>
    <row r="71" spans="1:46" ht="45.75">
      <c r="A71" s="57" t="s">
        <v>70</v>
      </c>
      <c r="B71" s="57" t="s">
        <v>69</v>
      </c>
      <c r="C71" s="59">
        <v>1</v>
      </c>
      <c r="D71" s="5" t="s">
        <v>266</v>
      </c>
      <c r="F71" s="5" t="s">
        <v>271</v>
      </c>
      <c r="L71" s="291" t="s">
        <v>284</v>
      </c>
      <c r="M71" s="282" t="s">
        <v>285</v>
      </c>
      <c r="N71" s="291" t="s">
        <v>286</v>
      </c>
      <c r="O71" s="291" t="s">
        <v>574</v>
      </c>
      <c r="P71" s="321" t="s">
        <v>287</v>
      </c>
      <c r="Q71" s="291" t="s">
        <v>288</v>
      </c>
      <c r="R71" s="279" t="s">
        <v>163</v>
      </c>
      <c r="S71" s="279" t="s">
        <v>215</v>
      </c>
      <c r="T71" s="291" t="s">
        <v>163</v>
      </c>
      <c r="U71" s="279" t="s">
        <v>163</v>
      </c>
      <c r="V71" s="279">
        <v>0</v>
      </c>
      <c r="W71" s="291" t="s">
        <v>163</v>
      </c>
      <c r="X71" s="279" t="s">
        <v>163</v>
      </c>
      <c r="Y71" s="279" t="s">
        <v>163</v>
      </c>
      <c r="Z71" s="279">
        <v>1</v>
      </c>
      <c r="AA71" s="279" t="s">
        <v>163</v>
      </c>
      <c r="AB71" s="279" t="s">
        <v>224</v>
      </c>
      <c r="AC71" s="279">
        <v>3</v>
      </c>
      <c r="AD71" s="279" t="s">
        <v>225</v>
      </c>
      <c r="AE71" s="280" t="s">
        <v>579</v>
      </c>
      <c r="AF71" s="291" t="s">
        <v>163</v>
      </c>
      <c r="AG71" s="279" t="s">
        <v>163</v>
      </c>
      <c r="AH71" s="279" t="s">
        <v>163</v>
      </c>
      <c r="AI71" s="279" t="s">
        <v>163</v>
      </c>
      <c r="AJ71" s="279" t="s">
        <v>290</v>
      </c>
      <c r="AK71" s="279" t="s">
        <v>291</v>
      </c>
      <c r="AL71" s="279" t="s">
        <v>292</v>
      </c>
      <c r="AM71" s="279" t="s">
        <v>293</v>
      </c>
      <c r="AN71" s="279" t="s">
        <v>294</v>
      </c>
      <c r="AO71" s="279">
        <v>0</v>
      </c>
      <c r="AP71" s="279" t="s">
        <v>214</v>
      </c>
      <c r="AQ71" s="279" t="s">
        <v>295</v>
      </c>
      <c r="AR71" s="279" t="s">
        <v>163</v>
      </c>
      <c r="AS71" s="279" t="s">
        <v>163</v>
      </c>
      <c r="AT71" s="279" t="s">
        <v>163</v>
      </c>
    </row>
    <row r="72" spans="1:46" ht="45.75">
      <c r="A72" s="57" t="s">
        <v>71</v>
      </c>
      <c r="B72" s="57" t="s">
        <v>69</v>
      </c>
      <c r="C72" s="59">
        <v>2</v>
      </c>
      <c r="D72" s="57" t="s">
        <v>580</v>
      </c>
      <c r="F72" s="5" t="s">
        <v>277</v>
      </c>
      <c r="L72" s="291" t="s">
        <v>284</v>
      </c>
      <c r="M72" s="282" t="s">
        <v>298</v>
      </c>
      <c r="N72" s="291" t="s">
        <v>286</v>
      </c>
      <c r="O72" s="291" t="s">
        <v>574</v>
      </c>
      <c r="P72" s="321" t="s">
        <v>287</v>
      </c>
      <c r="Q72" s="291" t="s">
        <v>288</v>
      </c>
      <c r="R72" s="279" t="s">
        <v>163</v>
      </c>
      <c r="S72" s="279" t="s">
        <v>215</v>
      </c>
      <c r="T72" s="291" t="s">
        <v>163</v>
      </c>
      <c r="U72" s="279" t="s">
        <v>163</v>
      </c>
      <c r="V72" s="279">
        <v>0</v>
      </c>
      <c r="W72" s="291" t="s">
        <v>163</v>
      </c>
      <c r="X72" s="279" t="s">
        <v>163</v>
      </c>
      <c r="Y72" s="279" t="s">
        <v>163</v>
      </c>
      <c r="Z72" s="279">
        <v>1</v>
      </c>
      <c r="AA72" s="279" t="s">
        <v>163</v>
      </c>
      <c r="AB72" s="279" t="s">
        <v>224</v>
      </c>
      <c r="AC72" s="279">
        <v>3</v>
      </c>
      <c r="AD72" s="279" t="s">
        <v>225</v>
      </c>
      <c r="AE72" s="280" t="s">
        <v>581</v>
      </c>
      <c r="AF72" s="291" t="s">
        <v>163</v>
      </c>
      <c r="AG72" s="279" t="s">
        <v>163</v>
      </c>
      <c r="AH72" s="279" t="s">
        <v>163</v>
      </c>
      <c r="AI72" s="279" t="s">
        <v>163</v>
      </c>
      <c r="AJ72" s="279" t="s">
        <v>290</v>
      </c>
      <c r="AK72" s="279" t="s">
        <v>291</v>
      </c>
      <c r="AL72" s="279" t="s">
        <v>300</v>
      </c>
      <c r="AM72" s="279" t="s">
        <v>301</v>
      </c>
      <c r="AN72" s="279" t="s">
        <v>294</v>
      </c>
      <c r="AO72" s="279">
        <v>0</v>
      </c>
      <c r="AP72" s="279" t="s">
        <v>214</v>
      </c>
      <c r="AQ72" s="279" t="s">
        <v>295</v>
      </c>
      <c r="AR72" s="279" t="s">
        <v>163</v>
      </c>
      <c r="AS72" s="279" t="s">
        <v>163</v>
      </c>
      <c r="AT72" s="279" t="s">
        <v>163</v>
      </c>
    </row>
    <row r="73" spans="1:46" ht="45.75">
      <c r="A73" s="57" t="s">
        <v>72</v>
      </c>
      <c r="B73" s="57" t="s">
        <v>69</v>
      </c>
      <c r="C73" s="59">
        <v>3</v>
      </c>
      <c r="D73" s="57" t="s">
        <v>582</v>
      </c>
      <c r="F73" s="5" t="s">
        <v>434</v>
      </c>
      <c r="L73" s="291" t="s">
        <v>284</v>
      </c>
      <c r="M73" s="282" t="s">
        <v>303</v>
      </c>
      <c r="N73" s="291" t="s">
        <v>286</v>
      </c>
      <c r="O73" s="291" t="s">
        <v>574</v>
      </c>
      <c r="P73" s="321" t="s">
        <v>287</v>
      </c>
      <c r="Q73" s="291" t="s">
        <v>288</v>
      </c>
      <c r="R73" s="279" t="s">
        <v>163</v>
      </c>
      <c r="S73" s="279" t="s">
        <v>215</v>
      </c>
      <c r="T73" s="291" t="s">
        <v>163</v>
      </c>
      <c r="U73" s="279" t="s">
        <v>163</v>
      </c>
      <c r="V73" s="279">
        <v>0</v>
      </c>
      <c r="W73" s="291" t="s">
        <v>163</v>
      </c>
      <c r="X73" s="279" t="s">
        <v>163</v>
      </c>
      <c r="Y73" s="279" t="s">
        <v>163</v>
      </c>
      <c r="Z73" s="279">
        <v>1</v>
      </c>
      <c r="AA73" s="279" t="s">
        <v>163</v>
      </c>
      <c r="AB73" s="279" t="s">
        <v>224</v>
      </c>
      <c r="AC73" s="279">
        <v>3</v>
      </c>
      <c r="AD73" s="279" t="s">
        <v>225</v>
      </c>
      <c r="AE73" s="280" t="s">
        <v>583</v>
      </c>
      <c r="AF73" s="291" t="s">
        <v>163</v>
      </c>
      <c r="AG73" s="279" t="s">
        <v>163</v>
      </c>
      <c r="AH73" s="279" t="s">
        <v>163</v>
      </c>
      <c r="AI73" s="279" t="s">
        <v>163</v>
      </c>
      <c r="AJ73" s="279" t="s">
        <v>290</v>
      </c>
      <c r="AK73" s="279" t="s">
        <v>291</v>
      </c>
      <c r="AL73" s="279" t="s">
        <v>305</v>
      </c>
      <c r="AM73" s="279" t="s">
        <v>306</v>
      </c>
      <c r="AN73" s="279" t="s">
        <v>294</v>
      </c>
      <c r="AO73" s="279">
        <v>0</v>
      </c>
      <c r="AP73" s="279" t="s">
        <v>214</v>
      </c>
      <c r="AQ73" s="279" t="s">
        <v>295</v>
      </c>
      <c r="AR73" s="279" t="s">
        <v>163</v>
      </c>
      <c r="AS73" s="279" t="s">
        <v>163</v>
      </c>
      <c r="AT73" s="279" t="s">
        <v>163</v>
      </c>
    </row>
    <row r="74" spans="1:46" ht="45.75">
      <c r="A74" s="57" t="s">
        <v>73</v>
      </c>
      <c r="B74" s="57" t="s">
        <v>69</v>
      </c>
      <c r="C74" s="59">
        <v>4</v>
      </c>
      <c r="D74" s="57" t="s">
        <v>584</v>
      </c>
      <c r="F74" s="5" t="s">
        <v>438</v>
      </c>
      <c r="L74" s="291" t="s">
        <v>284</v>
      </c>
      <c r="M74" s="282" t="s">
        <v>308</v>
      </c>
      <c r="N74" s="291" t="s">
        <v>286</v>
      </c>
      <c r="O74" s="291" t="s">
        <v>574</v>
      </c>
      <c r="P74" s="321" t="s">
        <v>287</v>
      </c>
      <c r="Q74" s="291" t="s">
        <v>288</v>
      </c>
      <c r="R74" s="279" t="s">
        <v>163</v>
      </c>
      <c r="S74" s="279" t="s">
        <v>215</v>
      </c>
      <c r="T74" s="291" t="s">
        <v>163</v>
      </c>
      <c r="U74" s="279" t="s">
        <v>163</v>
      </c>
      <c r="V74" s="279">
        <v>0</v>
      </c>
      <c r="W74" s="291" t="s">
        <v>163</v>
      </c>
      <c r="X74" s="279" t="s">
        <v>163</v>
      </c>
      <c r="Y74" s="279" t="s">
        <v>163</v>
      </c>
      <c r="Z74" s="279">
        <v>1</v>
      </c>
      <c r="AA74" s="279" t="s">
        <v>163</v>
      </c>
      <c r="AB74" s="279" t="s">
        <v>224</v>
      </c>
      <c r="AC74" s="279">
        <v>3</v>
      </c>
      <c r="AD74" s="279" t="s">
        <v>225</v>
      </c>
      <c r="AE74" s="280" t="s">
        <v>585</v>
      </c>
      <c r="AF74" s="291" t="s">
        <v>163</v>
      </c>
      <c r="AG74" s="279" t="s">
        <v>163</v>
      </c>
      <c r="AH74" s="279" t="s">
        <v>163</v>
      </c>
      <c r="AI74" s="279" t="s">
        <v>163</v>
      </c>
      <c r="AJ74" s="279" t="s">
        <v>290</v>
      </c>
      <c r="AK74" s="279" t="s">
        <v>291</v>
      </c>
      <c r="AL74" s="279" t="s">
        <v>310</v>
      </c>
      <c r="AM74" s="279" t="s">
        <v>311</v>
      </c>
      <c r="AN74" s="279" t="s">
        <v>294</v>
      </c>
      <c r="AO74" s="279">
        <v>0</v>
      </c>
      <c r="AP74" s="279" t="s">
        <v>214</v>
      </c>
      <c r="AQ74" s="279" t="s">
        <v>295</v>
      </c>
      <c r="AR74" s="279" t="s">
        <v>163</v>
      </c>
      <c r="AS74" s="279" t="s">
        <v>163</v>
      </c>
      <c r="AT74" s="279" t="s">
        <v>163</v>
      </c>
    </row>
    <row r="75" spans="1:46" ht="137.25">
      <c r="A75" s="57" t="s">
        <v>74</v>
      </c>
      <c r="B75" s="57" t="s">
        <v>69</v>
      </c>
      <c r="C75" s="59">
        <v>5</v>
      </c>
      <c r="D75" s="57" t="s">
        <v>586</v>
      </c>
      <c r="L75" s="304" t="s">
        <v>313</v>
      </c>
      <c r="M75" s="306" t="s">
        <v>587</v>
      </c>
      <c r="N75" s="304" t="s">
        <v>315</v>
      </c>
      <c r="O75" s="304" t="s">
        <v>574</v>
      </c>
      <c r="P75" s="304" t="s">
        <v>316</v>
      </c>
      <c r="Q75" s="304" t="s">
        <v>317</v>
      </c>
      <c r="R75" s="305" t="s">
        <v>163</v>
      </c>
      <c r="S75" s="305" t="s">
        <v>163</v>
      </c>
      <c r="T75" s="304" t="s">
        <v>318</v>
      </c>
      <c r="U75" s="341" t="s">
        <v>319</v>
      </c>
      <c r="V75" s="305">
        <v>0</v>
      </c>
      <c r="W75" s="304" t="s">
        <v>163</v>
      </c>
      <c r="X75" s="305" t="s">
        <v>163</v>
      </c>
      <c r="Y75" s="305" t="s">
        <v>163</v>
      </c>
      <c r="Z75" s="305">
        <v>1</v>
      </c>
      <c r="AA75" s="305" t="s">
        <v>163</v>
      </c>
      <c r="AB75" s="305" t="s">
        <v>224</v>
      </c>
      <c r="AC75" s="305" t="s">
        <v>163</v>
      </c>
      <c r="AD75" s="305" t="s">
        <v>320</v>
      </c>
      <c r="AE75" s="307" t="s">
        <v>588</v>
      </c>
      <c r="AF75" s="304" t="s">
        <v>332</v>
      </c>
      <c r="AG75" s="305" t="s">
        <v>163</v>
      </c>
      <c r="AH75" s="305" t="s">
        <v>163</v>
      </c>
      <c r="AI75" s="305" t="s">
        <v>163</v>
      </c>
      <c r="AJ75" s="305" t="s">
        <v>163</v>
      </c>
      <c r="AK75" s="305" t="s">
        <v>163</v>
      </c>
      <c r="AL75" s="305" t="s">
        <v>163</v>
      </c>
      <c r="AM75" s="305" t="s">
        <v>163</v>
      </c>
      <c r="AN75" s="305" t="s">
        <v>163</v>
      </c>
      <c r="AO75" s="305" t="s">
        <v>163</v>
      </c>
      <c r="AP75" s="305" t="s">
        <v>163</v>
      </c>
      <c r="AQ75" s="305" t="s">
        <v>163</v>
      </c>
      <c r="AR75" s="305" t="s">
        <v>163</v>
      </c>
      <c r="AS75" s="305" t="s">
        <v>163</v>
      </c>
      <c r="AT75" s="305" t="s">
        <v>163</v>
      </c>
    </row>
    <row r="76" spans="1:46" ht="106.5">
      <c r="A76" s="57" t="s">
        <v>75</v>
      </c>
      <c r="B76" s="57" t="s">
        <v>69</v>
      </c>
      <c r="C76" s="59">
        <v>6</v>
      </c>
      <c r="D76" s="57" t="s">
        <v>589</v>
      </c>
      <c r="L76" s="291" t="s">
        <v>163</v>
      </c>
      <c r="M76" s="282" t="s">
        <v>323</v>
      </c>
      <c r="N76" s="291" t="s">
        <v>219</v>
      </c>
      <c r="O76" s="291" t="s">
        <v>574</v>
      </c>
      <c r="P76" s="309" t="s">
        <v>214</v>
      </c>
      <c r="Q76" s="291" t="s">
        <v>221</v>
      </c>
      <c r="R76" s="279" t="s">
        <v>324</v>
      </c>
      <c r="S76" s="279" t="s">
        <v>215</v>
      </c>
      <c r="T76" s="291" t="s">
        <v>163</v>
      </c>
      <c r="U76" s="279" t="s">
        <v>163</v>
      </c>
      <c r="V76" s="279">
        <v>0</v>
      </c>
      <c r="W76" s="291" t="s">
        <v>163</v>
      </c>
      <c r="X76" s="279" t="s">
        <v>163</v>
      </c>
      <c r="Y76" s="279" t="s">
        <v>163</v>
      </c>
      <c r="Z76" s="279">
        <v>1</v>
      </c>
      <c r="AA76" s="279" t="s">
        <v>223</v>
      </c>
      <c r="AB76" s="279" t="s">
        <v>224</v>
      </c>
      <c r="AC76" s="279">
        <v>3</v>
      </c>
      <c r="AD76" s="279" t="s">
        <v>225</v>
      </c>
      <c r="AE76" s="280" t="s">
        <v>590</v>
      </c>
      <c r="AF76" s="291" t="s">
        <v>163</v>
      </c>
      <c r="AG76" s="279" t="s">
        <v>163</v>
      </c>
      <c r="AH76" s="279" t="s">
        <v>227</v>
      </c>
      <c r="AI76" s="279" t="s">
        <v>228</v>
      </c>
      <c r="AJ76" s="279" t="s">
        <v>163</v>
      </c>
      <c r="AK76" s="279" t="s">
        <v>163</v>
      </c>
      <c r="AL76" s="279" t="s">
        <v>163</v>
      </c>
      <c r="AM76" s="279" t="s">
        <v>163</v>
      </c>
      <c r="AN76" s="279" t="s">
        <v>163</v>
      </c>
      <c r="AO76" s="279" t="s">
        <v>163</v>
      </c>
      <c r="AP76" s="279" t="s">
        <v>163</v>
      </c>
      <c r="AQ76" s="279" t="s">
        <v>163</v>
      </c>
      <c r="AR76" s="279" t="s">
        <v>163</v>
      </c>
      <c r="AS76" s="279" t="s">
        <v>163</v>
      </c>
      <c r="AT76" s="279" t="s">
        <v>163</v>
      </c>
    </row>
    <row r="77" spans="1:46" ht="45.75">
      <c r="A77" s="57" t="s">
        <v>76</v>
      </c>
      <c r="B77" s="57" t="s">
        <v>69</v>
      </c>
      <c r="C77" s="59">
        <v>7</v>
      </c>
      <c r="D77" s="57" t="s">
        <v>591</v>
      </c>
      <c r="L77" s="291" t="s">
        <v>592</v>
      </c>
      <c r="M77" s="282" t="s">
        <v>593</v>
      </c>
      <c r="N77" s="291" t="s">
        <v>219</v>
      </c>
      <c r="O77" s="291" t="s">
        <v>574</v>
      </c>
      <c r="P77" s="309" t="s">
        <v>214</v>
      </c>
      <c r="Q77" s="291" t="s">
        <v>221</v>
      </c>
      <c r="R77" s="279" t="s">
        <v>594</v>
      </c>
      <c r="S77" s="279" t="s">
        <v>215</v>
      </c>
      <c r="T77" s="291" t="s">
        <v>163</v>
      </c>
      <c r="U77" s="279" t="s">
        <v>163</v>
      </c>
      <c r="V77" s="279">
        <v>0</v>
      </c>
      <c r="W77" s="291" t="s">
        <v>163</v>
      </c>
      <c r="X77" s="279" t="s">
        <v>163</v>
      </c>
      <c r="Y77" s="279" t="s">
        <v>163</v>
      </c>
      <c r="Z77" s="279">
        <v>1</v>
      </c>
      <c r="AA77" s="279" t="s">
        <v>223</v>
      </c>
      <c r="AB77" s="279" t="s">
        <v>224</v>
      </c>
      <c r="AC77" s="279">
        <v>3</v>
      </c>
      <c r="AD77" s="279" t="s">
        <v>225</v>
      </c>
      <c r="AE77" s="280" t="s">
        <v>595</v>
      </c>
      <c r="AF77" s="291" t="s">
        <v>163</v>
      </c>
      <c r="AG77" s="279" t="s">
        <v>163</v>
      </c>
      <c r="AH77" s="279" t="s">
        <v>227</v>
      </c>
      <c r="AI77" s="279" t="s">
        <v>228</v>
      </c>
      <c r="AJ77" s="279" t="s">
        <v>163</v>
      </c>
      <c r="AK77" s="279" t="s">
        <v>163</v>
      </c>
      <c r="AL77" s="279" t="s">
        <v>163</v>
      </c>
      <c r="AM77" s="279" t="s">
        <v>163</v>
      </c>
      <c r="AN77" s="279" t="s">
        <v>163</v>
      </c>
      <c r="AO77" s="279" t="s">
        <v>163</v>
      </c>
      <c r="AP77" s="279" t="s">
        <v>163</v>
      </c>
      <c r="AQ77" s="279" t="s">
        <v>163</v>
      </c>
      <c r="AR77" s="279" t="s">
        <v>163</v>
      </c>
      <c r="AS77" s="279" t="s">
        <v>163</v>
      </c>
      <c r="AT77" s="279" t="s">
        <v>163</v>
      </c>
    </row>
    <row r="78" spans="1:46" ht="106.5">
      <c r="A78" s="57" t="s">
        <v>77</v>
      </c>
      <c r="B78" s="57" t="s">
        <v>69</v>
      </c>
      <c r="C78" s="59">
        <v>8</v>
      </c>
      <c r="D78" s="57" t="s">
        <v>596</v>
      </c>
      <c r="L78" s="316" t="s">
        <v>313</v>
      </c>
      <c r="M78" s="324" t="s">
        <v>597</v>
      </c>
      <c r="N78" s="316" t="s">
        <v>315</v>
      </c>
      <c r="O78" s="316" t="s">
        <v>574</v>
      </c>
      <c r="P78" s="333" t="s">
        <v>316</v>
      </c>
      <c r="Q78" s="316" t="s">
        <v>317</v>
      </c>
      <c r="R78" s="336" t="s">
        <v>163</v>
      </c>
      <c r="S78" s="336" t="s">
        <v>163</v>
      </c>
      <c r="T78" s="316" t="s">
        <v>329</v>
      </c>
      <c r="U78" s="340" t="s">
        <v>598</v>
      </c>
      <c r="V78" s="336">
        <v>0</v>
      </c>
      <c r="W78" s="316" t="s">
        <v>163</v>
      </c>
      <c r="X78" s="336" t="s">
        <v>163</v>
      </c>
      <c r="Y78" s="336" t="s">
        <v>163</v>
      </c>
      <c r="Z78" s="336">
        <v>1</v>
      </c>
      <c r="AA78" s="336" t="s">
        <v>163</v>
      </c>
      <c r="AB78" s="336" t="s">
        <v>224</v>
      </c>
      <c r="AC78" s="336" t="s">
        <v>163</v>
      </c>
      <c r="AD78" s="336" t="s">
        <v>320</v>
      </c>
      <c r="AE78" s="347" t="s">
        <v>599</v>
      </c>
      <c r="AF78" s="316" t="s">
        <v>332</v>
      </c>
      <c r="AG78" s="336" t="s">
        <v>163</v>
      </c>
      <c r="AH78" s="336" t="s">
        <v>163</v>
      </c>
      <c r="AI78" s="336" t="s">
        <v>163</v>
      </c>
      <c r="AJ78" s="336" t="s">
        <v>163</v>
      </c>
      <c r="AK78" s="336" t="s">
        <v>163</v>
      </c>
      <c r="AL78" s="336" t="s">
        <v>163</v>
      </c>
      <c r="AM78" s="336" t="s">
        <v>163</v>
      </c>
      <c r="AN78" s="336" t="s">
        <v>163</v>
      </c>
      <c r="AO78" s="336" t="s">
        <v>163</v>
      </c>
      <c r="AP78" s="336" t="s">
        <v>163</v>
      </c>
      <c r="AQ78" s="336" t="s">
        <v>163</v>
      </c>
      <c r="AR78" s="336" t="s">
        <v>163</v>
      </c>
      <c r="AS78" s="336" t="s">
        <v>163</v>
      </c>
      <c r="AT78" s="336" t="s">
        <v>163</v>
      </c>
    </row>
    <row r="79" spans="1:46" ht="91.5">
      <c r="A79" s="57" t="s">
        <v>78</v>
      </c>
      <c r="B79" s="57" t="s">
        <v>69</v>
      </c>
      <c r="C79" s="59">
        <v>9</v>
      </c>
      <c r="D79" s="57" t="s">
        <v>600</v>
      </c>
      <c r="F79" s="5" t="s">
        <v>327</v>
      </c>
      <c r="L79" s="304" t="s">
        <v>313</v>
      </c>
      <c r="M79" s="306" t="s">
        <v>601</v>
      </c>
      <c r="N79" s="304" t="s">
        <v>315</v>
      </c>
      <c r="O79" s="304" t="s">
        <v>574</v>
      </c>
      <c r="P79" s="332" t="s">
        <v>316</v>
      </c>
      <c r="Q79" s="304" t="s">
        <v>317</v>
      </c>
      <c r="R79" s="305" t="s">
        <v>163</v>
      </c>
      <c r="S79" s="305" t="s">
        <v>163</v>
      </c>
      <c r="T79" s="304" t="s">
        <v>318</v>
      </c>
      <c r="U79" s="341" t="s">
        <v>602</v>
      </c>
      <c r="V79" s="305">
        <v>0</v>
      </c>
      <c r="W79" s="304" t="s">
        <v>163</v>
      </c>
      <c r="X79" s="305" t="s">
        <v>163</v>
      </c>
      <c r="Y79" s="305" t="s">
        <v>163</v>
      </c>
      <c r="Z79" s="305">
        <v>1</v>
      </c>
      <c r="AA79" s="305" t="s">
        <v>163</v>
      </c>
      <c r="AB79" s="305" t="s">
        <v>224</v>
      </c>
      <c r="AC79" s="305" t="s">
        <v>163</v>
      </c>
      <c r="AD79" s="305" t="s">
        <v>320</v>
      </c>
      <c r="AE79" s="307" t="s">
        <v>603</v>
      </c>
      <c r="AF79" s="304" t="s">
        <v>332</v>
      </c>
      <c r="AG79" s="305" t="s">
        <v>163</v>
      </c>
      <c r="AH79" s="305" t="s">
        <v>163</v>
      </c>
      <c r="AI79" s="305" t="s">
        <v>163</v>
      </c>
      <c r="AJ79" s="305" t="s">
        <v>163</v>
      </c>
      <c r="AK79" s="305" t="s">
        <v>163</v>
      </c>
      <c r="AL79" s="305" t="s">
        <v>163</v>
      </c>
      <c r="AM79" s="305" t="s">
        <v>163</v>
      </c>
      <c r="AN79" s="305" t="s">
        <v>163</v>
      </c>
      <c r="AO79" s="305" t="s">
        <v>163</v>
      </c>
      <c r="AP79" s="305" t="s">
        <v>163</v>
      </c>
      <c r="AQ79" s="305" t="s">
        <v>163</v>
      </c>
      <c r="AR79" s="305" t="s">
        <v>163</v>
      </c>
      <c r="AS79" s="305" t="s">
        <v>163</v>
      </c>
      <c r="AT79" s="305" t="s">
        <v>163</v>
      </c>
    </row>
    <row r="80" spans="1:46" ht="91.5">
      <c r="A80" s="57" t="s">
        <v>79</v>
      </c>
      <c r="B80" s="57" t="s">
        <v>69</v>
      </c>
      <c r="C80" s="59">
        <v>10</v>
      </c>
      <c r="D80" s="57" t="s">
        <v>604</v>
      </c>
      <c r="F80" s="5" t="s">
        <v>334</v>
      </c>
      <c r="L80" s="291" t="s">
        <v>313</v>
      </c>
      <c r="M80" s="282" t="s">
        <v>342</v>
      </c>
      <c r="N80" s="291" t="s">
        <v>219</v>
      </c>
      <c r="O80" s="291" t="s">
        <v>574</v>
      </c>
      <c r="P80" s="291" t="s">
        <v>214</v>
      </c>
      <c r="Q80" s="291" t="s">
        <v>343</v>
      </c>
      <c r="R80" s="279" t="s">
        <v>605</v>
      </c>
      <c r="S80" s="279" t="s">
        <v>215</v>
      </c>
      <c r="T80" s="291" t="s">
        <v>163</v>
      </c>
      <c r="U80" s="279" t="s">
        <v>163</v>
      </c>
      <c r="V80" s="279">
        <v>0</v>
      </c>
      <c r="W80" s="291" t="s">
        <v>163</v>
      </c>
      <c r="X80" s="279" t="s">
        <v>163</v>
      </c>
      <c r="Y80" s="279" t="s">
        <v>163</v>
      </c>
      <c r="Z80" s="279">
        <v>1</v>
      </c>
      <c r="AA80" s="279" t="s">
        <v>223</v>
      </c>
      <c r="AB80" s="279" t="s">
        <v>224</v>
      </c>
      <c r="AC80" s="279">
        <v>3</v>
      </c>
      <c r="AD80" s="279" t="s">
        <v>225</v>
      </c>
      <c r="AE80" s="280" t="s">
        <v>606</v>
      </c>
      <c r="AF80" s="291" t="s">
        <v>163</v>
      </c>
      <c r="AG80" s="279" t="s">
        <v>163</v>
      </c>
      <c r="AH80" s="279" t="s">
        <v>346</v>
      </c>
      <c r="AI80" s="279" t="s">
        <v>347</v>
      </c>
      <c r="AJ80" s="279" t="s">
        <v>163</v>
      </c>
      <c r="AK80" s="279" t="s">
        <v>163</v>
      </c>
      <c r="AL80" s="279" t="s">
        <v>163</v>
      </c>
      <c r="AM80" s="279" t="s">
        <v>163</v>
      </c>
      <c r="AN80" s="279" t="s">
        <v>163</v>
      </c>
      <c r="AO80" s="279" t="s">
        <v>163</v>
      </c>
      <c r="AP80" s="279" t="s">
        <v>163</v>
      </c>
      <c r="AQ80" s="279" t="s">
        <v>163</v>
      </c>
      <c r="AR80" s="279" t="s">
        <v>163</v>
      </c>
      <c r="AS80" s="279" t="s">
        <v>163</v>
      </c>
      <c r="AT80" s="279" t="s">
        <v>163</v>
      </c>
    </row>
    <row r="81" spans="1:46" ht="106.5">
      <c r="A81" s="57" t="s">
        <v>80</v>
      </c>
      <c r="B81" s="57" t="s">
        <v>69</v>
      </c>
      <c r="C81" s="59">
        <v>11</v>
      </c>
      <c r="D81" s="57" t="s">
        <v>607</v>
      </c>
      <c r="F81" s="40" t="s">
        <v>608</v>
      </c>
      <c r="L81" s="291" t="s">
        <v>313</v>
      </c>
      <c r="M81" s="282" t="s">
        <v>609</v>
      </c>
      <c r="N81" s="291" t="s">
        <v>219</v>
      </c>
      <c r="O81" s="291" t="s">
        <v>574</v>
      </c>
      <c r="P81" s="291" t="s">
        <v>214</v>
      </c>
      <c r="Q81" s="291" t="s">
        <v>221</v>
      </c>
      <c r="R81" s="279" t="s">
        <v>352</v>
      </c>
      <c r="S81" s="279" t="s">
        <v>215</v>
      </c>
      <c r="T81" s="291" t="s">
        <v>163</v>
      </c>
      <c r="U81" s="279" t="s">
        <v>163</v>
      </c>
      <c r="V81" s="279">
        <v>0</v>
      </c>
      <c r="W81" s="291" t="s">
        <v>163</v>
      </c>
      <c r="X81" s="279" t="s">
        <v>163</v>
      </c>
      <c r="Y81" s="279" t="s">
        <v>163</v>
      </c>
      <c r="Z81" s="279">
        <v>1</v>
      </c>
      <c r="AA81" s="279" t="s">
        <v>223</v>
      </c>
      <c r="AB81" s="279" t="s">
        <v>224</v>
      </c>
      <c r="AC81" s="279">
        <v>3</v>
      </c>
      <c r="AD81" s="279" t="s">
        <v>225</v>
      </c>
      <c r="AE81" s="280" t="s">
        <v>610</v>
      </c>
      <c r="AF81" s="291" t="s">
        <v>163</v>
      </c>
      <c r="AG81" s="279" t="s">
        <v>163</v>
      </c>
      <c r="AH81" s="279" t="s">
        <v>227</v>
      </c>
      <c r="AI81" s="279" t="s">
        <v>228</v>
      </c>
      <c r="AJ81" s="279" t="s">
        <v>163</v>
      </c>
      <c r="AK81" s="279" t="s">
        <v>163</v>
      </c>
      <c r="AL81" s="279" t="s">
        <v>163</v>
      </c>
      <c r="AM81" s="279" t="s">
        <v>163</v>
      </c>
      <c r="AN81" s="279" t="s">
        <v>163</v>
      </c>
      <c r="AO81" s="279" t="s">
        <v>163</v>
      </c>
      <c r="AP81" s="279" t="s">
        <v>163</v>
      </c>
      <c r="AQ81" s="279" t="s">
        <v>163</v>
      </c>
      <c r="AR81" s="279" t="s">
        <v>163</v>
      </c>
      <c r="AS81" s="279" t="s">
        <v>163</v>
      </c>
      <c r="AT81" s="279" t="s">
        <v>163</v>
      </c>
    </row>
    <row r="82" spans="1:46" ht="381.75">
      <c r="A82" s="57" t="s">
        <v>81</v>
      </c>
      <c r="B82" s="57" t="s">
        <v>69</v>
      </c>
      <c r="C82" s="59">
        <v>12</v>
      </c>
      <c r="D82" s="57" t="s">
        <v>611</v>
      </c>
      <c r="F82" s="5" t="s">
        <v>612</v>
      </c>
      <c r="G82" s="48" t="s">
        <v>613</v>
      </c>
      <c r="I82" s="5" t="s">
        <v>614</v>
      </c>
      <c r="L82" s="317" t="s">
        <v>357</v>
      </c>
      <c r="M82" s="317" t="s">
        <v>615</v>
      </c>
      <c r="N82" s="318" t="s">
        <v>219</v>
      </c>
      <c r="O82" s="318" t="s">
        <v>574</v>
      </c>
      <c r="P82" s="318" t="s">
        <v>214</v>
      </c>
      <c r="Q82" s="318" t="s">
        <v>221</v>
      </c>
      <c r="R82" s="335" t="s">
        <v>359</v>
      </c>
      <c r="S82" s="335" t="s">
        <v>215</v>
      </c>
      <c r="T82" s="318" t="s">
        <v>163</v>
      </c>
      <c r="U82" s="335" t="s">
        <v>163</v>
      </c>
      <c r="V82" s="335">
        <v>0</v>
      </c>
      <c r="W82" s="318" t="s">
        <v>163</v>
      </c>
      <c r="X82" s="335" t="s">
        <v>163</v>
      </c>
      <c r="Y82" s="335" t="s">
        <v>163</v>
      </c>
      <c r="Z82" s="335">
        <v>1</v>
      </c>
      <c r="AA82" s="335" t="s">
        <v>223</v>
      </c>
      <c r="AB82" s="335" t="s">
        <v>224</v>
      </c>
      <c r="AC82" s="335">
        <v>3</v>
      </c>
      <c r="AD82" s="335" t="s">
        <v>225</v>
      </c>
      <c r="AE82" s="342" t="s">
        <v>616</v>
      </c>
      <c r="AF82" s="318" t="s">
        <v>163</v>
      </c>
      <c r="AG82" s="335" t="s">
        <v>163</v>
      </c>
      <c r="AH82" s="335" t="s">
        <v>227</v>
      </c>
      <c r="AI82" s="335" t="s">
        <v>228</v>
      </c>
      <c r="AJ82" s="335" t="s">
        <v>163</v>
      </c>
      <c r="AK82" s="335" t="s">
        <v>163</v>
      </c>
      <c r="AL82" s="335" t="s">
        <v>163</v>
      </c>
      <c r="AM82" s="335" t="s">
        <v>163</v>
      </c>
      <c r="AN82" s="335" t="s">
        <v>163</v>
      </c>
      <c r="AO82" s="335" t="s">
        <v>163</v>
      </c>
      <c r="AP82" s="335" t="s">
        <v>163</v>
      </c>
      <c r="AQ82" s="335" t="s">
        <v>163</v>
      </c>
      <c r="AR82" s="335" t="s">
        <v>163</v>
      </c>
      <c r="AS82" s="335" t="s">
        <v>163</v>
      </c>
      <c r="AT82" s="335" t="s">
        <v>163</v>
      </c>
    </row>
    <row r="83" spans="1:46" ht="60.75">
      <c r="A83" s="57" t="s">
        <v>82</v>
      </c>
      <c r="B83" s="57" t="s">
        <v>69</v>
      </c>
      <c r="C83" s="59">
        <v>13</v>
      </c>
      <c r="D83" s="57" t="s">
        <v>617</v>
      </c>
      <c r="F83" s="5" t="s">
        <v>618</v>
      </c>
      <c r="L83" s="291" t="s">
        <v>313</v>
      </c>
      <c r="M83" s="282" t="s">
        <v>619</v>
      </c>
      <c r="N83" s="291" t="s">
        <v>315</v>
      </c>
      <c r="O83" s="291" t="s">
        <v>163</v>
      </c>
      <c r="P83" s="291" t="s">
        <v>316</v>
      </c>
      <c r="Q83" s="291" t="s">
        <v>371</v>
      </c>
      <c r="R83" s="279" t="s">
        <v>163</v>
      </c>
      <c r="S83" s="279" t="s">
        <v>163</v>
      </c>
      <c r="T83" s="291" t="s">
        <v>329</v>
      </c>
      <c r="U83" s="335" t="s">
        <v>620</v>
      </c>
      <c r="V83" s="279">
        <v>0</v>
      </c>
      <c r="W83" s="291" t="s">
        <v>163</v>
      </c>
      <c r="X83" s="279" t="s">
        <v>163</v>
      </c>
      <c r="Y83" s="279" t="s">
        <v>163</v>
      </c>
      <c r="Z83" s="279">
        <v>1</v>
      </c>
      <c r="AA83" s="279" t="s">
        <v>163</v>
      </c>
      <c r="AB83" s="279" t="s">
        <v>224</v>
      </c>
      <c r="AC83" s="279" t="s">
        <v>163</v>
      </c>
      <c r="AD83" s="279" t="s">
        <v>320</v>
      </c>
      <c r="AE83" s="280" t="s">
        <v>621</v>
      </c>
      <c r="AF83" s="291" t="s">
        <v>332</v>
      </c>
      <c r="AG83" s="279" t="s">
        <v>163</v>
      </c>
      <c r="AH83" s="279" t="s">
        <v>163</v>
      </c>
      <c r="AI83" s="279" t="s">
        <v>163</v>
      </c>
      <c r="AJ83" s="279" t="s">
        <v>163</v>
      </c>
      <c r="AK83" s="279" t="s">
        <v>163</v>
      </c>
      <c r="AL83" s="279" t="s">
        <v>163</v>
      </c>
      <c r="AM83" s="279" t="s">
        <v>163</v>
      </c>
      <c r="AN83" s="279" t="s">
        <v>163</v>
      </c>
      <c r="AO83" s="279" t="s">
        <v>163</v>
      </c>
      <c r="AP83" s="279" t="s">
        <v>163</v>
      </c>
      <c r="AQ83" s="279" t="s">
        <v>163</v>
      </c>
      <c r="AR83" s="279" t="s">
        <v>163</v>
      </c>
      <c r="AS83" s="279" t="s">
        <v>163</v>
      </c>
      <c r="AT83" s="279" t="s">
        <v>163</v>
      </c>
    </row>
    <row r="84" spans="1:46" ht="45.75">
      <c r="A84" s="57" t="s">
        <v>83</v>
      </c>
      <c r="B84" s="57" t="s">
        <v>69</v>
      </c>
      <c r="C84" s="59">
        <v>14</v>
      </c>
      <c r="D84" s="57" t="s">
        <v>622</v>
      </c>
      <c r="F84" s="5" t="s">
        <v>623</v>
      </c>
      <c r="L84" s="291" t="s">
        <v>163</v>
      </c>
      <c r="M84" s="282" t="s">
        <v>624</v>
      </c>
      <c r="N84" s="291" t="s">
        <v>213</v>
      </c>
      <c r="O84" s="291" t="s">
        <v>163</v>
      </c>
      <c r="P84" s="291" t="s">
        <v>214</v>
      </c>
      <c r="Q84" s="291" t="s">
        <v>163</v>
      </c>
      <c r="R84" s="279" t="s">
        <v>163</v>
      </c>
      <c r="S84" s="279" t="s">
        <v>215</v>
      </c>
      <c r="T84" s="291" t="s">
        <v>163</v>
      </c>
      <c r="U84" s="279" t="s">
        <v>163</v>
      </c>
      <c r="V84" s="279">
        <v>1</v>
      </c>
      <c r="W84" s="344">
        <v>0.16666666666666666</v>
      </c>
      <c r="X84" s="279" t="s">
        <v>625</v>
      </c>
      <c r="Y84" s="279" t="s">
        <v>163</v>
      </c>
      <c r="Z84" s="279">
        <v>1</v>
      </c>
      <c r="AA84" s="279" t="s">
        <v>163</v>
      </c>
      <c r="AB84" s="279" t="s">
        <v>163</v>
      </c>
      <c r="AC84" s="279">
        <v>3</v>
      </c>
      <c r="AD84" s="279" t="s">
        <v>163</v>
      </c>
      <c r="AE84" s="280" t="s">
        <v>163</v>
      </c>
      <c r="AF84" s="291" t="s">
        <v>163</v>
      </c>
      <c r="AG84" s="279" t="s">
        <v>163</v>
      </c>
      <c r="AH84" s="279" t="s">
        <v>163</v>
      </c>
      <c r="AI84" s="279" t="s">
        <v>163</v>
      </c>
      <c r="AJ84" s="279" t="s">
        <v>163</v>
      </c>
      <c r="AK84" s="279" t="s">
        <v>163</v>
      </c>
      <c r="AL84" s="279" t="s">
        <v>163</v>
      </c>
      <c r="AM84" s="279" t="s">
        <v>163</v>
      </c>
      <c r="AN84" s="279" t="s">
        <v>163</v>
      </c>
      <c r="AO84" s="279" t="s">
        <v>163</v>
      </c>
      <c r="AP84" s="279" t="s">
        <v>163</v>
      </c>
      <c r="AQ84" s="279" t="s">
        <v>163</v>
      </c>
      <c r="AR84" s="279" t="s">
        <v>163</v>
      </c>
      <c r="AS84" s="279" t="s">
        <v>163</v>
      </c>
      <c r="AT84" s="279" t="s">
        <v>163</v>
      </c>
    </row>
    <row r="85" spans="1:46" ht="121.5">
      <c r="A85" s="57" t="s">
        <v>84</v>
      </c>
      <c r="B85" s="57" t="s">
        <v>69</v>
      </c>
      <c r="C85" s="59">
        <v>15</v>
      </c>
      <c r="D85" s="57" t="s">
        <v>626</v>
      </c>
      <c r="F85" s="5" t="s">
        <v>363</v>
      </c>
      <c r="L85" s="318" t="s">
        <v>627</v>
      </c>
      <c r="M85" s="317" t="s">
        <v>628</v>
      </c>
      <c r="N85" s="318" t="s">
        <v>219</v>
      </c>
      <c r="O85" s="318" t="s">
        <v>629</v>
      </c>
      <c r="P85" s="318" t="s">
        <v>214</v>
      </c>
      <c r="Q85" s="318" t="s">
        <v>221</v>
      </c>
      <c r="R85" s="335" t="s">
        <v>630</v>
      </c>
      <c r="S85" s="335" t="s">
        <v>215</v>
      </c>
      <c r="T85" s="318" t="s">
        <v>163</v>
      </c>
      <c r="U85" s="335" t="s">
        <v>163</v>
      </c>
      <c r="V85" s="335">
        <v>0</v>
      </c>
      <c r="W85" s="318" t="s">
        <v>163</v>
      </c>
      <c r="X85" s="335" t="s">
        <v>163</v>
      </c>
      <c r="Y85" s="335" t="s">
        <v>163</v>
      </c>
      <c r="Z85" s="335">
        <v>1</v>
      </c>
      <c r="AA85" s="335" t="s">
        <v>223</v>
      </c>
      <c r="AB85" s="335" t="s">
        <v>224</v>
      </c>
      <c r="AC85" s="335">
        <v>3</v>
      </c>
      <c r="AD85" s="335" t="s">
        <v>225</v>
      </c>
      <c r="AE85" s="342" t="s">
        <v>631</v>
      </c>
      <c r="AF85" s="318" t="s">
        <v>163</v>
      </c>
      <c r="AG85" s="335" t="s">
        <v>163</v>
      </c>
      <c r="AH85" s="335" t="s">
        <v>227</v>
      </c>
      <c r="AI85" s="335" t="s">
        <v>228</v>
      </c>
      <c r="AJ85" s="335" t="s">
        <v>163</v>
      </c>
      <c r="AK85" s="335" t="s">
        <v>163</v>
      </c>
      <c r="AL85" s="335" t="s">
        <v>163</v>
      </c>
      <c r="AM85" s="335" t="s">
        <v>163</v>
      </c>
      <c r="AN85" s="335" t="s">
        <v>163</v>
      </c>
      <c r="AO85" s="335" t="s">
        <v>163</v>
      </c>
      <c r="AP85" s="335" t="s">
        <v>163</v>
      </c>
      <c r="AQ85" s="335" t="s">
        <v>163</v>
      </c>
      <c r="AR85" s="335" t="s">
        <v>163</v>
      </c>
      <c r="AS85" s="335" t="s">
        <v>163</v>
      </c>
      <c r="AT85" s="335" t="s">
        <v>163</v>
      </c>
    </row>
    <row r="86" spans="1:46" ht="137.25">
      <c r="A86" s="60" t="s">
        <v>85</v>
      </c>
      <c r="B86" s="57" t="s">
        <v>69</v>
      </c>
      <c r="C86" s="59">
        <v>16</v>
      </c>
      <c r="D86" s="57" t="s">
        <v>632</v>
      </c>
      <c r="F86" s="5" t="s">
        <v>369</v>
      </c>
      <c r="L86" s="318" t="s">
        <v>633</v>
      </c>
      <c r="M86" s="317" t="s">
        <v>634</v>
      </c>
      <c r="N86" s="318" t="s">
        <v>219</v>
      </c>
      <c r="O86" s="318" t="s">
        <v>629</v>
      </c>
      <c r="P86" s="318" t="s">
        <v>214</v>
      </c>
      <c r="Q86" s="318" t="s">
        <v>221</v>
      </c>
      <c r="R86" s="335" t="s">
        <v>635</v>
      </c>
      <c r="S86" s="335" t="s">
        <v>215</v>
      </c>
      <c r="T86" s="318" t="s">
        <v>163</v>
      </c>
      <c r="U86" s="335" t="s">
        <v>163</v>
      </c>
      <c r="V86" s="335">
        <v>0</v>
      </c>
      <c r="W86" s="318" t="s">
        <v>163</v>
      </c>
      <c r="X86" s="335" t="s">
        <v>163</v>
      </c>
      <c r="Y86" s="335" t="s">
        <v>163</v>
      </c>
      <c r="Z86" s="335">
        <v>1</v>
      </c>
      <c r="AA86" s="335" t="s">
        <v>223</v>
      </c>
      <c r="AB86" s="335" t="s">
        <v>224</v>
      </c>
      <c r="AC86" s="335">
        <v>3</v>
      </c>
      <c r="AD86" s="335" t="s">
        <v>225</v>
      </c>
      <c r="AE86" s="342" t="s">
        <v>636</v>
      </c>
      <c r="AF86" s="318" t="s">
        <v>163</v>
      </c>
      <c r="AG86" s="335" t="s">
        <v>163</v>
      </c>
      <c r="AH86" s="335" t="s">
        <v>227</v>
      </c>
      <c r="AI86" s="335" t="s">
        <v>228</v>
      </c>
      <c r="AJ86" s="335" t="s">
        <v>163</v>
      </c>
      <c r="AK86" s="335" t="s">
        <v>163</v>
      </c>
      <c r="AL86" s="335" t="s">
        <v>163</v>
      </c>
      <c r="AM86" s="335" t="s">
        <v>163</v>
      </c>
      <c r="AN86" s="335" t="s">
        <v>163</v>
      </c>
      <c r="AO86" s="335" t="s">
        <v>163</v>
      </c>
      <c r="AP86" s="335" t="s">
        <v>163</v>
      </c>
      <c r="AQ86" s="335" t="s">
        <v>163</v>
      </c>
      <c r="AR86" s="335" t="s">
        <v>163</v>
      </c>
      <c r="AS86" s="335" t="s">
        <v>163</v>
      </c>
      <c r="AT86" s="335" t="s">
        <v>163</v>
      </c>
    </row>
    <row r="87" spans="1:46" ht="137.25">
      <c r="A87" s="60"/>
      <c r="B87" s="57"/>
      <c r="C87" s="61"/>
      <c r="D87" s="57"/>
      <c r="L87" s="318" t="s">
        <v>637</v>
      </c>
      <c r="M87" s="317" t="s">
        <v>638</v>
      </c>
      <c r="N87" s="318" t="s">
        <v>219</v>
      </c>
      <c r="O87" s="318" t="s">
        <v>629</v>
      </c>
      <c r="P87" s="318" t="s">
        <v>214</v>
      </c>
      <c r="Q87" s="318" t="s">
        <v>221</v>
      </c>
      <c r="R87" s="335" t="s">
        <v>639</v>
      </c>
      <c r="S87" s="335" t="s">
        <v>215</v>
      </c>
      <c r="T87" s="318" t="s">
        <v>163</v>
      </c>
      <c r="U87" s="335" t="s">
        <v>163</v>
      </c>
      <c r="V87" s="335">
        <v>0</v>
      </c>
      <c r="W87" s="318" t="s">
        <v>163</v>
      </c>
      <c r="X87" s="335" t="s">
        <v>163</v>
      </c>
      <c r="Y87" s="335" t="s">
        <v>163</v>
      </c>
      <c r="Z87" s="335">
        <v>1</v>
      </c>
      <c r="AA87" s="335" t="s">
        <v>223</v>
      </c>
      <c r="AB87" s="335" t="s">
        <v>224</v>
      </c>
      <c r="AC87" s="335">
        <v>3</v>
      </c>
      <c r="AD87" s="335" t="s">
        <v>225</v>
      </c>
      <c r="AE87" s="342" t="s">
        <v>640</v>
      </c>
      <c r="AF87" s="318" t="s">
        <v>163</v>
      </c>
      <c r="AG87" s="335" t="s">
        <v>163</v>
      </c>
      <c r="AH87" s="335" t="s">
        <v>227</v>
      </c>
      <c r="AI87" s="335" t="s">
        <v>228</v>
      </c>
      <c r="AJ87" s="335" t="s">
        <v>163</v>
      </c>
      <c r="AK87" s="335" t="s">
        <v>163</v>
      </c>
      <c r="AL87" s="335" t="s">
        <v>163</v>
      </c>
      <c r="AM87" s="335" t="s">
        <v>163</v>
      </c>
      <c r="AN87" s="335" t="s">
        <v>163</v>
      </c>
      <c r="AO87" s="335" t="s">
        <v>163</v>
      </c>
      <c r="AP87" s="335" t="s">
        <v>163</v>
      </c>
      <c r="AQ87" s="335" t="s">
        <v>163</v>
      </c>
      <c r="AR87" s="335" t="s">
        <v>163</v>
      </c>
      <c r="AS87" s="335" t="s">
        <v>163</v>
      </c>
      <c r="AT87" s="335" t="s">
        <v>163</v>
      </c>
    </row>
    <row r="88" spans="1:46" ht="321">
      <c r="A88" s="57" t="s">
        <v>86</v>
      </c>
      <c r="B88" s="57" t="s">
        <v>69</v>
      </c>
      <c r="C88" s="59">
        <v>1</v>
      </c>
      <c r="D88" s="57" t="s">
        <v>641</v>
      </c>
      <c r="F88" s="5" t="s">
        <v>642</v>
      </c>
      <c r="G88" s="55" t="s">
        <v>643</v>
      </c>
      <c r="I88" s="166" t="s">
        <v>644</v>
      </c>
      <c r="L88" s="318" t="s">
        <v>645</v>
      </c>
      <c r="M88" s="317" t="s">
        <v>646</v>
      </c>
      <c r="N88" s="318" t="s">
        <v>219</v>
      </c>
      <c r="O88" s="318" t="s">
        <v>163</v>
      </c>
      <c r="P88" s="318" t="s">
        <v>214</v>
      </c>
      <c r="Q88" s="318" t="s">
        <v>221</v>
      </c>
      <c r="R88" s="335" t="s">
        <v>647</v>
      </c>
      <c r="S88" s="335" t="s">
        <v>215</v>
      </c>
      <c r="T88" s="318" t="s">
        <v>163</v>
      </c>
      <c r="U88" s="335" t="s">
        <v>163</v>
      </c>
      <c r="V88" s="335">
        <v>0</v>
      </c>
      <c r="W88" s="346">
        <v>6.9444444444444447E-4</v>
      </c>
      <c r="X88" s="335" t="s">
        <v>625</v>
      </c>
      <c r="Y88" s="335" t="s">
        <v>163</v>
      </c>
      <c r="Z88" s="335">
        <v>1</v>
      </c>
      <c r="AA88" s="335" t="s">
        <v>223</v>
      </c>
      <c r="AB88" s="335" t="s">
        <v>224</v>
      </c>
      <c r="AC88" s="335">
        <v>3</v>
      </c>
      <c r="AD88" s="335" t="s">
        <v>225</v>
      </c>
      <c r="AE88" s="342" t="s">
        <v>648</v>
      </c>
      <c r="AF88" s="318" t="s">
        <v>163</v>
      </c>
      <c r="AG88" s="335" t="s">
        <v>163</v>
      </c>
      <c r="AH88" s="335" t="s">
        <v>227</v>
      </c>
      <c r="AI88" s="335" t="s">
        <v>228</v>
      </c>
      <c r="AJ88" s="335" t="s">
        <v>163</v>
      </c>
      <c r="AK88" s="335" t="s">
        <v>163</v>
      </c>
      <c r="AL88" s="335" t="s">
        <v>163</v>
      </c>
      <c r="AM88" s="335" t="s">
        <v>163</v>
      </c>
      <c r="AN88" s="335" t="s">
        <v>163</v>
      </c>
      <c r="AO88" s="335" t="s">
        <v>163</v>
      </c>
      <c r="AP88" s="335" t="s">
        <v>163</v>
      </c>
      <c r="AQ88" s="335" t="s">
        <v>163</v>
      </c>
      <c r="AR88" s="335" t="s">
        <v>163</v>
      </c>
      <c r="AS88" s="335" t="s">
        <v>163</v>
      </c>
      <c r="AT88" s="335" t="s">
        <v>163</v>
      </c>
    </row>
    <row r="89" spans="1:46" ht="229.5">
      <c r="A89" s="57"/>
      <c r="B89" s="57"/>
      <c r="C89" s="59"/>
      <c r="D89" s="57"/>
      <c r="L89" s="291" t="s">
        <v>627</v>
      </c>
      <c r="M89" s="282" t="s">
        <v>649</v>
      </c>
      <c r="N89" s="291" t="s">
        <v>219</v>
      </c>
      <c r="O89" s="291" t="s">
        <v>650</v>
      </c>
      <c r="P89" s="309" t="s">
        <v>214</v>
      </c>
      <c r="Q89" s="291" t="s">
        <v>221</v>
      </c>
      <c r="R89" s="279" t="s">
        <v>651</v>
      </c>
      <c r="S89" s="279" t="s">
        <v>215</v>
      </c>
      <c r="T89" s="291" t="s">
        <v>163</v>
      </c>
      <c r="U89" s="279" t="s">
        <v>163</v>
      </c>
      <c r="V89" s="279">
        <v>0</v>
      </c>
      <c r="W89" s="291" t="s">
        <v>163</v>
      </c>
      <c r="X89" s="279" t="s">
        <v>163</v>
      </c>
      <c r="Y89" s="279" t="s">
        <v>163</v>
      </c>
      <c r="Z89" s="279">
        <v>1</v>
      </c>
      <c r="AA89" s="279" t="s">
        <v>223</v>
      </c>
      <c r="AB89" s="279" t="s">
        <v>224</v>
      </c>
      <c r="AC89" s="279">
        <v>3</v>
      </c>
      <c r="AD89" s="279" t="s">
        <v>225</v>
      </c>
      <c r="AE89" s="280" t="s">
        <v>652</v>
      </c>
      <c r="AF89" s="291" t="s">
        <v>163</v>
      </c>
      <c r="AG89" s="279" t="s">
        <v>163</v>
      </c>
      <c r="AH89" s="279" t="s">
        <v>227</v>
      </c>
      <c r="AI89" s="279" t="s">
        <v>228</v>
      </c>
      <c r="AJ89" s="279" t="s">
        <v>163</v>
      </c>
      <c r="AK89" s="279" t="s">
        <v>163</v>
      </c>
      <c r="AL89" s="279" t="s">
        <v>163</v>
      </c>
      <c r="AM89" s="279" t="s">
        <v>163</v>
      </c>
      <c r="AN89" s="279" t="s">
        <v>163</v>
      </c>
      <c r="AO89" s="279" t="s">
        <v>163</v>
      </c>
      <c r="AP89" s="279" t="s">
        <v>163</v>
      </c>
      <c r="AQ89" s="279" t="s">
        <v>163</v>
      </c>
      <c r="AR89" s="279" t="s">
        <v>163</v>
      </c>
      <c r="AS89" s="279" t="s">
        <v>163</v>
      </c>
      <c r="AT89" s="279" t="s">
        <v>163</v>
      </c>
    </row>
    <row r="90" spans="1:46" ht="60.75">
      <c r="A90" s="57" t="s">
        <v>87</v>
      </c>
      <c r="B90" s="57"/>
      <c r="C90" s="59">
        <v>1</v>
      </c>
      <c r="D90" s="57" t="s">
        <v>641</v>
      </c>
      <c r="F90" s="5" t="s">
        <v>505</v>
      </c>
      <c r="G90" s="43" t="s">
        <v>506</v>
      </c>
      <c r="I90" s="5" t="s">
        <v>507</v>
      </c>
      <c r="L90" s="291" t="s">
        <v>378</v>
      </c>
      <c r="M90" s="282" t="s">
        <v>653</v>
      </c>
      <c r="N90" s="291" t="s">
        <v>219</v>
      </c>
      <c r="O90" s="291" t="s">
        <v>654</v>
      </c>
      <c r="P90" s="309" t="s">
        <v>214</v>
      </c>
      <c r="Q90" s="291" t="s">
        <v>221</v>
      </c>
      <c r="R90" s="279" t="s">
        <v>381</v>
      </c>
      <c r="S90" s="279" t="s">
        <v>215</v>
      </c>
      <c r="T90" s="291" t="s">
        <v>163</v>
      </c>
      <c r="U90" s="279" t="s">
        <v>163</v>
      </c>
      <c r="V90" s="279">
        <v>0</v>
      </c>
      <c r="W90" s="291" t="s">
        <v>163</v>
      </c>
      <c r="X90" s="279" t="s">
        <v>163</v>
      </c>
      <c r="Y90" s="279" t="s">
        <v>163</v>
      </c>
      <c r="Z90" s="279">
        <v>1</v>
      </c>
      <c r="AA90" s="279" t="s">
        <v>223</v>
      </c>
      <c r="AB90" s="279" t="s">
        <v>224</v>
      </c>
      <c r="AC90" s="279">
        <v>3</v>
      </c>
      <c r="AD90" s="279" t="s">
        <v>225</v>
      </c>
      <c r="AE90" s="280" t="s">
        <v>655</v>
      </c>
      <c r="AF90" s="291" t="s">
        <v>163</v>
      </c>
      <c r="AG90" s="279" t="s">
        <v>163</v>
      </c>
      <c r="AH90" s="279" t="s">
        <v>227</v>
      </c>
      <c r="AI90" s="279" t="s">
        <v>228</v>
      </c>
      <c r="AJ90" s="279" t="s">
        <v>163</v>
      </c>
      <c r="AK90" s="279" t="s">
        <v>163</v>
      </c>
      <c r="AL90" s="279" t="s">
        <v>224</v>
      </c>
      <c r="AM90" s="279" t="s">
        <v>163</v>
      </c>
      <c r="AN90" s="279" t="s">
        <v>163</v>
      </c>
      <c r="AO90" s="279" t="s">
        <v>163</v>
      </c>
      <c r="AP90" s="279" t="s">
        <v>163</v>
      </c>
      <c r="AQ90" s="279" t="s">
        <v>163</v>
      </c>
      <c r="AR90" s="279" t="s">
        <v>163</v>
      </c>
      <c r="AS90" s="279" t="s">
        <v>163</v>
      </c>
      <c r="AT90" s="279" t="s">
        <v>163</v>
      </c>
    </row>
    <row r="91" spans="1:46" ht="76.5">
      <c r="A91" s="57"/>
      <c r="B91" s="57"/>
      <c r="C91" s="59"/>
      <c r="D91" s="60"/>
      <c r="L91" s="291" t="s">
        <v>387</v>
      </c>
      <c r="M91" s="282" t="s">
        <v>388</v>
      </c>
      <c r="N91" s="291" t="s">
        <v>219</v>
      </c>
      <c r="O91" s="291" t="s">
        <v>654</v>
      </c>
      <c r="P91" s="309" t="s">
        <v>214</v>
      </c>
      <c r="Q91" s="291" t="s">
        <v>221</v>
      </c>
      <c r="R91" s="279" t="s">
        <v>389</v>
      </c>
      <c r="S91" s="279" t="s">
        <v>215</v>
      </c>
      <c r="T91" s="291" t="s">
        <v>163</v>
      </c>
      <c r="U91" s="279" t="s">
        <v>163</v>
      </c>
      <c r="V91" s="279">
        <v>0</v>
      </c>
      <c r="W91" s="291" t="s">
        <v>163</v>
      </c>
      <c r="X91" s="279" t="s">
        <v>163</v>
      </c>
      <c r="Y91" s="279" t="s">
        <v>163</v>
      </c>
      <c r="Z91" s="279">
        <v>1</v>
      </c>
      <c r="AA91" s="279" t="s">
        <v>223</v>
      </c>
      <c r="AB91" s="279" t="s">
        <v>224</v>
      </c>
      <c r="AC91" s="279">
        <v>3</v>
      </c>
      <c r="AD91" s="279" t="s">
        <v>225</v>
      </c>
      <c r="AE91" s="280" t="s">
        <v>656</v>
      </c>
      <c r="AF91" s="291" t="s">
        <v>163</v>
      </c>
      <c r="AG91" s="279" t="s">
        <v>163</v>
      </c>
      <c r="AH91" s="279" t="s">
        <v>227</v>
      </c>
      <c r="AI91" s="279" t="s">
        <v>228</v>
      </c>
      <c r="AJ91" s="279" t="s">
        <v>163</v>
      </c>
      <c r="AK91" s="279" t="s">
        <v>163</v>
      </c>
      <c r="AL91" s="279" t="s">
        <v>163</v>
      </c>
      <c r="AM91" s="279" t="s">
        <v>163</v>
      </c>
      <c r="AN91" s="279" t="s">
        <v>163</v>
      </c>
      <c r="AO91" s="279" t="s">
        <v>163</v>
      </c>
      <c r="AP91" s="279" t="s">
        <v>163</v>
      </c>
      <c r="AQ91" s="279" t="s">
        <v>163</v>
      </c>
      <c r="AR91" s="279" t="s">
        <v>163</v>
      </c>
      <c r="AS91" s="279" t="s">
        <v>163</v>
      </c>
      <c r="AT91" s="279" t="s">
        <v>163</v>
      </c>
    </row>
    <row r="92" spans="1:46" ht="45.75">
      <c r="A92" s="62" t="s">
        <v>88</v>
      </c>
      <c r="B92" s="57"/>
      <c r="C92" s="59"/>
      <c r="D92" s="5" t="s">
        <v>657</v>
      </c>
      <c r="E92" s="80">
        <v>0.16666666666666666</v>
      </c>
      <c r="L92" s="291" t="s">
        <v>284</v>
      </c>
      <c r="M92" s="282" t="s">
        <v>658</v>
      </c>
      <c r="N92" s="291" t="s">
        <v>286</v>
      </c>
      <c r="O92" s="291" t="s">
        <v>654</v>
      </c>
      <c r="P92" s="321" t="s">
        <v>287</v>
      </c>
      <c r="Q92" s="291" t="s">
        <v>288</v>
      </c>
      <c r="R92" s="279" t="s">
        <v>163</v>
      </c>
      <c r="S92" s="279" t="s">
        <v>215</v>
      </c>
      <c r="T92" s="291" t="s">
        <v>163</v>
      </c>
      <c r="U92" s="279" t="s">
        <v>163</v>
      </c>
      <c r="V92" s="279">
        <v>0</v>
      </c>
      <c r="W92" s="291" t="s">
        <v>163</v>
      </c>
      <c r="X92" s="279" t="s">
        <v>163</v>
      </c>
      <c r="Y92" s="279" t="s">
        <v>163</v>
      </c>
      <c r="Z92" s="279">
        <v>1</v>
      </c>
      <c r="AA92" s="279" t="s">
        <v>163</v>
      </c>
      <c r="AB92" s="279" t="s">
        <v>224</v>
      </c>
      <c r="AC92" s="279">
        <v>3</v>
      </c>
      <c r="AD92" s="279" t="s">
        <v>225</v>
      </c>
      <c r="AE92" s="280" t="s">
        <v>659</v>
      </c>
      <c r="AF92" s="291" t="s">
        <v>163</v>
      </c>
      <c r="AG92" s="279" t="s">
        <v>163</v>
      </c>
      <c r="AH92" s="279" t="s">
        <v>163</v>
      </c>
      <c r="AI92" s="279" t="s">
        <v>163</v>
      </c>
      <c r="AJ92" s="279" t="s">
        <v>290</v>
      </c>
      <c r="AK92" s="279" t="s">
        <v>291</v>
      </c>
      <c r="AL92" s="279" t="s">
        <v>393</v>
      </c>
      <c r="AM92" s="279" t="s">
        <v>394</v>
      </c>
      <c r="AN92" s="279" t="s">
        <v>294</v>
      </c>
      <c r="AO92" s="279">
        <v>0</v>
      </c>
      <c r="AP92" s="279" t="s">
        <v>214</v>
      </c>
      <c r="AQ92" s="279" t="s">
        <v>295</v>
      </c>
      <c r="AR92" s="279" t="s">
        <v>163</v>
      </c>
      <c r="AS92" s="279" t="s">
        <v>163</v>
      </c>
      <c r="AT92" s="279" t="s">
        <v>163</v>
      </c>
    </row>
    <row r="93" spans="1:46" ht="45.75">
      <c r="A93" s="60" t="s">
        <v>89</v>
      </c>
      <c r="B93" s="57" t="s">
        <v>88</v>
      </c>
      <c r="C93" s="59">
        <v>1</v>
      </c>
      <c r="F93" s="2" t="s">
        <v>660</v>
      </c>
      <c r="L93" s="291" t="s">
        <v>284</v>
      </c>
      <c r="M93" s="282" t="s">
        <v>661</v>
      </c>
      <c r="N93" s="291" t="s">
        <v>286</v>
      </c>
      <c r="O93" s="291" t="s">
        <v>654</v>
      </c>
      <c r="P93" s="321" t="s">
        <v>287</v>
      </c>
      <c r="Q93" s="291" t="s">
        <v>288</v>
      </c>
      <c r="R93" s="279" t="s">
        <v>163</v>
      </c>
      <c r="S93" s="279" t="s">
        <v>215</v>
      </c>
      <c r="T93" s="291" t="s">
        <v>163</v>
      </c>
      <c r="U93" s="279" t="s">
        <v>163</v>
      </c>
      <c r="V93" s="279">
        <v>0</v>
      </c>
      <c r="W93" s="291" t="s">
        <v>163</v>
      </c>
      <c r="X93" s="279" t="s">
        <v>163</v>
      </c>
      <c r="Y93" s="279" t="s">
        <v>163</v>
      </c>
      <c r="Z93" s="279">
        <v>1</v>
      </c>
      <c r="AA93" s="279" t="s">
        <v>163</v>
      </c>
      <c r="AB93" s="279" t="s">
        <v>224</v>
      </c>
      <c r="AC93" s="279">
        <v>3</v>
      </c>
      <c r="AD93" s="279" t="s">
        <v>225</v>
      </c>
      <c r="AE93" s="280" t="s">
        <v>662</v>
      </c>
      <c r="AF93" s="291" t="s">
        <v>163</v>
      </c>
      <c r="AG93" s="279" t="s">
        <v>163</v>
      </c>
      <c r="AH93" s="279" t="s">
        <v>163</v>
      </c>
      <c r="AI93" s="279" t="s">
        <v>163</v>
      </c>
      <c r="AJ93" s="279" t="s">
        <v>290</v>
      </c>
      <c r="AK93" s="279" t="s">
        <v>291</v>
      </c>
      <c r="AL93" s="279" t="s">
        <v>399</v>
      </c>
      <c r="AM93" s="279" t="s">
        <v>400</v>
      </c>
      <c r="AN93" s="279" t="s">
        <v>294</v>
      </c>
      <c r="AO93" s="279">
        <v>0</v>
      </c>
      <c r="AP93" s="279" t="s">
        <v>214</v>
      </c>
      <c r="AQ93" s="279" t="s">
        <v>295</v>
      </c>
      <c r="AR93" s="279" t="s">
        <v>163</v>
      </c>
      <c r="AS93" s="279" t="s">
        <v>163</v>
      </c>
      <c r="AT93" s="279" t="s">
        <v>163</v>
      </c>
    </row>
    <row r="94" spans="1:46" ht="45.75">
      <c r="A94" s="60" t="s">
        <v>90</v>
      </c>
      <c r="B94" s="57" t="s">
        <v>88</v>
      </c>
      <c r="C94" s="59">
        <v>2</v>
      </c>
      <c r="D94" s="57" t="s">
        <v>663</v>
      </c>
      <c r="F94" s="5" t="s">
        <v>664</v>
      </c>
      <c r="L94" s="291" t="s">
        <v>284</v>
      </c>
      <c r="M94" s="282" t="s">
        <v>665</v>
      </c>
      <c r="N94" s="291" t="s">
        <v>286</v>
      </c>
      <c r="O94" s="291" t="s">
        <v>654</v>
      </c>
      <c r="P94" s="321" t="s">
        <v>287</v>
      </c>
      <c r="Q94" s="291" t="s">
        <v>288</v>
      </c>
      <c r="R94" s="279" t="s">
        <v>163</v>
      </c>
      <c r="S94" s="279" t="s">
        <v>215</v>
      </c>
      <c r="T94" s="291" t="s">
        <v>163</v>
      </c>
      <c r="U94" s="279" t="s">
        <v>163</v>
      </c>
      <c r="V94" s="279">
        <v>0</v>
      </c>
      <c r="W94" s="291" t="s">
        <v>163</v>
      </c>
      <c r="X94" s="279" t="s">
        <v>163</v>
      </c>
      <c r="Y94" s="279" t="s">
        <v>163</v>
      </c>
      <c r="Z94" s="279">
        <v>1</v>
      </c>
      <c r="AA94" s="279" t="s">
        <v>163</v>
      </c>
      <c r="AB94" s="279" t="s">
        <v>224</v>
      </c>
      <c r="AC94" s="279">
        <v>3</v>
      </c>
      <c r="AD94" s="279" t="s">
        <v>225</v>
      </c>
      <c r="AE94" s="280" t="s">
        <v>666</v>
      </c>
      <c r="AF94" s="291" t="s">
        <v>163</v>
      </c>
      <c r="AG94" s="279" t="s">
        <v>163</v>
      </c>
      <c r="AH94" s="279" t="s">
        <v>163</v>
      </c>
      <c r="AI94" s="279" t="s">
        <v>163</v>
      </c>
      <c r="AJ94" s="279" t="s">
        <v>290</v>
      </c>
      <c r="AK94" s="279" t="s">
        <v>291</v>
      </c>
      <c r="AL94" s="279" t="s">
        <v>405</v>
      </c>
      <c r="AM94" s="279" t="s">
        <v>406</v>
      </c>
      <c r="AN94" s="279" t="s">
        <v>294</v>
      </c>
      <c r="AO94" s="279">
        <v>0</v>
      </c>
      <c r="AP94" s="279" t="s">
        <v>214</v>
      </c>
      <c r="AQ94" s="279" t="s">
        <v>295</v>
      </c>
      <c r="AR94" s="279" t="s">
        <v>163</v>
      </c>
      <c r="AS94" s="279" t="s">
        <v>163</v>
      </c>
      <c r="AT94" s="279" t="s">
        <v>163</v>
      </c>
    </row>
    <row r="95" spans="1:46" ht="76.5">
      <c r="A95" s="60" t="s">
        <v>91</v>
      </c>
      <c r="B95" s="57" t="s">
        <v>88</v>
      </c>
      <c r="C95" s="59">
        <v>3</v>
      </c>
      <c r="D95" s="57" t="s">
        <v>667</v>
      </c>
      <c r="F95" s="5" t="s">
        <v>668</v>
      </c>
      <c r="L95" s="291" t="s">
        <v>408</v>
      </c>
      <c r="M95" s="282" t="s">
        <v>669</v>
      </c>
      <c r="N95" s="291" t="s">
        <v>219</v>
      </c>
      <c r="O95" s="291" t="s">
        <v>654</v>
      </c>
      <c r="P95" s="291" t="s">
        <v>214</v>
      </c>
      <c r="Q95" s="291" t="s">
        <v>221</v>
      </c>
      <c r="R95" s="279" t="s">
        <v>410</v>
      </c>
      <c r="S95" s="279" t="s">
        <v>215</v>
      </c>
      <c r="T95" s="291" t="s">
        <v>163</v>
      </c>
      <c r="U95" s="279" t="s">
        <v>163</v>
      </c>
      <c r="V95" s="279">
        <v>0</v>
      </c>
      <c r="W95" s="291" t="s">
        <v>163</v>
      </c>
      <c r="X95" s="279" t="s">
        <v>163</v>
      </c>
      <c r="Y95" s="279" t="s">
        <v>163</v>
      </c>
      <c r="Z95" s="279">
        <v>1</v>
      </c>
      <c r="AA95" s="279" t="s">
        <v>223</v>
      </c>
      <c r="AB95" s="279" t="s">
        <v>224</v>
      </c>
      <c r="AC95" s="279">
        <v>3</v>
      </c>
      <c r="AD95" s="279" t="s">
        <v>225</v>
      </c>
      <c r="AE95" s="280" t="s">
        <v>670</v>
      </c>
      <c r="AF95" s="291" t="s">
        <v>163</v>
      </c>
      <c r="AG95" s="279" t="s">
        <v>163</v>
      </c>
      <c r="AH95" s="279" t="s">
        <v>227</v>
      </c>
      <c r="AI95" s="279" t="s">
        <v>228</v>
      </c>
      <c r="AJ95" s="279" t="s">
        <v>163</v>
      </c>
      <c r="AK95" s="279" t="s">
        <v>163</v>
      </c>
      <c r="AL95" s="279" t="s">
        <v>163</v>
      </c>
      <c r="AM95" s="279" t="s">
        <v>163</v>
      </c>
      <c r="AN95" s="279" t="s">
        <v>163</v>
      </c>
      <c r="AO95" s="279" t="s">
        <v>163</v>
      </c>
      <c r="AP95" s="279" t="s">
        <v>163</v>
      </c>
      <c r="AQ95" s="279" t="s">
        <v>163</v>
      </c>
      <c r="AR95" s="279" t="s">
        <v>163</v>
      </c>
      <c r="AS95" s="279" t="s">
        <v>163</v>
      </c>
      <c r="AT95" s="279" t="s">
        <v>163</v>
      </c>
    </row>
    <row r="96" spans="1:46" ht="45.75">
      <c r="A96" s="60" t="s">
        <v>92</v>
      </c>
      <c r="B96" s="57" t="s">
        <v>88</v>
      </c>
      <c r="C96" s="59">
        <v>4</v>
      </c>
      <c r="D96" s="5" t="s">
        <v>671</v>
      </c>
      <c r="F96" s="5" t="s">
        <v>672</v>
      </c>
      <c r="L96" s="291" t="s">
        <v>284</v>
      </c>
      <c r="M96" s="282" t="s">
        <v>673</v>
      </c>
      <c r="N96" s="291" t="s">
        <v>286</v>
      </c>
      <c r="O96" s="291" t="s">
        <v>654</v>
      </c>
      <c r="P96" s="309" t="s">
        <v>287</v>
      </c>
      <c r="Q96" s="291" t="s">
        <v>288</v>
      </c>
      <c r="R96" s="279" t="s">
        <v>163</v>
      </c>
      <c r="S96" s="279" t="s">
        <v>215</v>
      </c>
      <c r="T96" s="291" t="s">
        <v>163</v>
      </c>
      <c r="U96" s="279" t="s">
        <v>163</v>
      </c>
      <c r="V96" s="279">
        <v>0</v>
      </c>
      <c r="W96" s="291" t="s">
        <v>163</v>
      </c>
      <c r="X96" s="279" t="s">
        <v>163</v>
      </c>
      <c r="Y96" s="279" t="s">
        <v>163</v>
      </c>
      <c r="Z96" s="279">
        <v>1</v>
      </c>
      <c r="AA96" s="279" t="s">
        <v>163</v>
      </c>
      <c r="AB96" s="279" t="s">
        <v>224</v>
      </c>
      <c r="AC96" s="279">
        <v>3</v>
      </c>
      <c r="AD96" s="279" t="s">
        <v>225</v>
      </c>
      <c r="AE96" s="280" t="s">
        <v>674</v>
      </c>
      <c r="AF96" s="291" t="s">
        <v>163</v>
      </c>
      <c r="AG96" s="279" t="s">
        <v>163</v>
      </c>
      <c r="AH96" s="279" t="s">
        <v>163</v>
      </c>
      <c r="AI96" s="279" t="s">
        <v>163</v>
      </c>
      <c r="AJ96" s="279" t="s">
        <v>290</v>
      </c>
      <c r="AK96" s="279" t="s">
        <v>291</v>
      </c>
      <c r="AL96" s="279" t="s">
        <v>415</v>
      </c>
      <c r="AM96" s="279" t="s">
        <v>675</v>
      </c>
      <c r="AN96" s="279" t="s">
        <v>294</v>
      </c>
      <c r="AO96" s="279">
        <v>0</v>
      </c>
      <c r="AP96" s="279" t="s">
        <v>214</v>
      </c>
      <c r="AQ96" s="279" t="s">
        <v>295</v>
      </c>
      <c r="AR96" s="279" t="s">
        <v>163</v>
      </c>
      <c r="AS96" s="279" t="s">
        <v>163</v>
      </c>
      <c r="AT96" s="279" t="s">
        <v>163</v>
      </c>
    </row>
    <row r="97" spans="1:46" ht="30.75">
      <c r="A97" s="57"/>
      <c r="B97" s="57"/>
      <c r="C97" s="69"/>
      <c r="E97" s="82"/>
      <c r="L97" s="291" t="s">
        <v>261</v>
      </c>
      <c r="M97" s="282" t="s">
        <v>573</v>
      </c>
      <c r="N97" s="291" t="s">
        <v>219</v>
      </c>
      <c r="O97" s="291" t="s">
        <v>654</v>
      </c>
      <c r="P97" s="291" t="s">
        <v>214</v>
      </c>
      <c r="Q97" s="291" t="s">
        <v>221</v>
      </c>
      <c r="R97" s="279" t="s">
        <v>264</v>
      </c>
      <c r="S97" s="279" t="s">
        <v>215</v>
      </c>
      <c r="T97" s="291" t="s">
        <v>163</v>
      </c>
      <c r="U97" s="279" t="s">
        <v>163</v>
      </c>
      <c r="V97" s="279">
        <v>0</v>
      </c>
      <c r="W97" s="291" t="s">
        <v>163</v>
      </c>
      <c r="X97" s="279" t="s">
        <v>163</v>
      </c>
      <c r="Y97" s="279" t="s">
        <v>163</v>
      </c>
      <c r="Z97" s="279">
        <v>1</v>
      </c>
      <c r="AA97" s="279" t="s">
        <v>223</v>
      </c>
      <c r="AB97" s="279" t="s">
        <v>224</v>
      </c>
      <c r="AC97" s="279">
        <v>3</v>
      </c>
      <c r="AD97" s="279" t="s">
        <v>225</v>
      </c>
      <c r="AE97" s="280" t="s">
        <v>676</v>
      </c>
      <c r="AF97" s="291" t="s">
        <v>163</v>
      </c>
      <c r="AG97" s="279" t="s">
        <v>163</v>
      </c>
      <c r="AH97" s="279" t="s">
        <v>227</v>
      </c>
      <c r="AI97" s="279" t="s">
        <v>228</v>
      </c>
      <c r="AJ97" s="279" t="s">
        <v>163</v>
      </c>
      <c r="AK97" s="279" t="s">
        <v>163</v>
      </c>
      <c r="AL97" s="279" t="s">
        <v>163</v>
      </c>
      <c r="AM97" s="279" t="s">
        <v>163</v>
      </c>
      <c r="AN97" s="279" t="s">
        <v>163</v>
      </c>
      <c r="AO97" s="279" t="s">
        <v>163</v>
      </c>
      <c r="AP97" s="279" t="s">
        <v>163</v>
      </c>
      <c r="AQ97" s="279" t="s">
        <v>163</v>
      </c>
      <c r="AR97" s="279" t="s">
        <v>163</v>
      </c>
      <c r="AS97" s="279" t="s">
        <v>163</v>
      </c>
      <c r="AT97" s="279" t="s">
        <v>163</v>
      </c>
    </row>
    <row r="98" spans="1:46" ht="45.75">
      <c r="A98" s="57" t="s">
        <v>93</v>
      </c>
      <c r="B98" s="57" t="s">
        <v>553</v>
      </c>
      <c r="C98" s="94">
        <v>1</v>
      </c>
      <c r="D98" s="83" t="s">
        <v>657</v>
      </c>
      <c r="E98" s="84">
        <v>6.9444444444444447E-4</v>
      </c>
      <c r="F98" s="5" t="s">
        <v>647</v>
      </c>
      <c r="L98" s="291" t="s">
        <v>267</v>
      </c>
      <c r="M98" s="282" t="s">
        <v>268</v>
      </c>
      <c r="N98" s="291" t="s">
        <v>219</v>
      </c>
      <c r="O98" s="291" t="s">
        <v>654</v>
      </c>
      <c r="P98" s="291" t="s">
        <v>214</v>
      </c>
      <c r="Q98" s="291" t="s">
        <v>221</v>
      </c>
      <c r="R98" s="279" t="s">
        <v>269</v>
      </c>
      <c r="S98" s="279" t="s">
        <v>215</v>
      </c>
      <c r="T98" s="291" t="s">
        <v>163</v>
      </c>
      <c r="U98" s="279" t="s">
        <v>163</v>
      </c>
      <c r="V98" s="279">
        <v>0</v>
      </c>
      <c r="W98" s="291" t="s">
        <v>163</v>
      </c>
      <c r="X98" s="279" t="s">
        <v>163</v>
      </c>
      <c r="Y98" s="279" t="s">
        <v>163</v>
      </c>
      <c r="Z98" s="279">
        <v>1</v>
      </c>
      <c r="AA98" s="279" t="s">
        <v>223</v>
      </c>
      <c r="AB98" s="279" t="s">
        <v>224</v>
      </c>
      <c r="AC98" s="279">
        <v>3</v>
      </c>
      <c r="AD98" s="279" t="s">
        <v>225</v>
      </c>
      <c r="AE98" s="280" t="s">
        <v>677</v>
      </c>
      <c r="AF98" s="291" t="s">
        <v>163</v>
      </c>
      <c r="AG98" s="279" t="s">
        <v>163</v>
      </c>
      <c r="AH98" s="279" t="s">
        <v>227</v>
      </c>
      <c r="AI98" s="279" t="s">
        <v>228</v>
      </c>
      <c r="AJ98" s="279" t="s">
        <v>163</v>
      </c>
      <c r="AK98" s="279" t="s">
        <v>163</v>
      </c>
      <c r="AL98" s="279" t="s">
        <v>163</v>
      </c>
      <c r="AM98" s="279" t="s">
        <v>163</v>
      </c>
      <c r="AN98" s="279" t="s">
        <v>163</v>
      </c>
      <c r="AO98" s="279" t="s">
        <v>163</v>
      </c>
      <c r="AP98" s="279" t="s">
        <v>163</v>
      </c>
      <c r="AQ98" s="279" t="s">
        <v>163</v>
      </c>
      <c r="AR98" s="279" t="s">
        <v>163</v>
      </c>
      <c r="AS98" s="279" t="s">
        <v>163</v>
      </c>
      <c r="AT98" s="279" t="s">
        <v>163</v>
      </c>
    </row>
    <row r="99" spans="1:46" ht="45.75">
      <c r="A99" s="57"/>
      <c r="B99" s="57"/>
      <c r="C99" s="70"/>
      <c r="D99" s="83"/>
      <c r="E99" s="84"/>
      <c r="L99" s="291" t="s">
        <v>272</v>
      </c>
      <c r="M99" s="282" t="s">
        <v>273</v>
      </c>
      <c r="N99" s="291" t="s">
        <v>219</v>
      </c>
      <c r="O99" s="291" t="s">
        <v>654</v>
      </c>
      <c r="P99" s="291" t="s">
        <v>214</v>
      </c>
      <c r="Q99" s="291" t="s">
        <v>221</v>
      </c>
      <c r="R99" s="279" t="s">
        <v>274</v>
      </c>
      <c r="S99" s="279" t="s">
        <v>215</v>
      </c>
      <c r="T99" s="291" t="s">
        <v>163</v>
      </c>
      <c r="U99" s="279" t="s">
        <v>163</v>
      </c>
      <c r="V99" s="279">
        <v>0</v>
      </c>
      <c r="W99" s="291" t="s">
        <v>163</v>
      </c>
      <c r="X99" s="279" t="s">
        <v>163</v>
      </c>
      <c r="Y99" s="279" t="s">
        <v>163</v>
      </c>
      <c r="Z99" s="279">
        <v>1</v>
      </c>
      <c r="AA99" s="279" t="s">
        <v>223</v>
      </c>
      <c r="AB99" s="279" t="s">
        <v>224</v>
      </c>
      <c r="AC99" s="279">
        <v>3</v>
      </c>
      <c r="AD99" s="279" t="s">
        <v>225</v>
      </c>
      <c r="AE99" s="280" t="s">
        <v>678</v>
      </c>
      <c r="AF99" s="291" t="s">
        <v>163</v>
      </c>
      <c r="AG99" s="279" t="s">
        <v>163</v>
      </c>
      <c r="AH99" s="279" t="s">
        <v>227</v>
      </c>
      <c r="AI99" s="279" t="s">
        <v>228</v>
      </c>
      <c r="AJ99" s="279" t="s">
        <v>163</v>
      </c>
      <c r="AK99" s="279" t="s">
        <v>163</v>
      </c>
      <c r="AL99" s="279" t="s">
        <v>163</v>
      </c>
      <c r="AM99" s="279" t="s">
        <v>163</v>
      </c>
      <c r="AN99" s="279" t="s">
        <v>163</v>
      </c>
      <c r="AO99" s="279" t="s">
        <v>163</v>
      </c>
      <c r="AP99" s="279" t="s">
        <v>163</v>
      </c>
      <c r="AQ99" s="279" t="s">
        <v>163</v>
      </c>
      <c r="AR99" s="279" t="s">
        <v>163</v>
      </c>
      <c r="AS99" s="279" t="s">
        <v>163</v>
      </c>
      <c r="AT99" s="279" t="s">
        <v>163</v>
      </c>
    </row>
    <row r="100" spans="1:46" ht="45.75">
      <c r="A100" s="62" t="s">
        <v>94</v>
      </c>
      <c r="B100" s="57"/>
      <c r="C100" s="70"/>
      <c r="D100" s="83" t="s">
        <v>679</v>
      </c>
      <c r="E100" s="84">
        <v>0.375</v>
      </c>
      <c r="L100" s="291" t="s">
        <v>278</v>
      </c>
      <c r="M100" s="282" t="s">
        <v>279</v>
      </c>
      <c r="N100" s="291" t="s">
        <v>219</v>
      </c>
      <c r="O100" s="291" t="s">
        <v>654</v>
      </c>
      <c r="P100" s="291" t="s">
        <v>214</v>
      </c>
      <c r="Q100" s="291" t="s">
        <v>221</v>
      </c>
      <c r="R100" s="279" t="s">
        <v>280</v>
      </c>
      <c r="S100" s="279" t="s">
        <v>215</v>
      </c>
      <c r="T100" s="291" t="s">
        <v>163</v>
      </c>
      <c r="U100" s="279" t="s">
        <v>163</v>
      </c>
      <c r="V100" s="279">
        <v>0</v>
      </c>
      <c r="W100" s="291" t="s">
        <v>163</v>
      </c>
      <c r="X100" s="279" t="s">
        <v>163</v>
      </c>
      <c r="Y100" s="279" t="s">
        <v>163</v>
      </c>
      <c r="Z100" s="279">
        <v>1</v>
      </c>
      <c r="AA100" s="279" t="s">
        <v>223</v>
      </c>
      <c r="AB100" s="279" t="s">
        <v>224</v>
      </c>
      <c r="AC100" s="279">
        <v>3</v>
      </c>
      <c r="AD100" s="279" t="s">
        <v>225</v>
      </c>
      <c r="AE100" s="280" t="s">
        <v>680</v>
      </c>
      <c r="AF100" s="291" t="s">
        <v>163</v>
      </c>
      <c r="AG100" s="279" t="s">
        <v>163</v>
      </c>
      <c r="AH100" s="279" t="s">
        <v>227</v>
      </c>
      <c r="AI100" s="279" t="s">
        <v>228</v>
      </c>
      <c r="AJ100" s="279" t="s">
        <v>163</v>
      </c>
      <c r="AK100" s="279" t="s">
        <v>163</v>
      </c>
      <c r="AL100" s="279" t="s">
        <v>163</v>
      </c>
      <c r="AM100" s="279" t="s">
        <v>163</v>
      </c>
      <c r="AN100" s="279" t="s">
        <v>163</v>
      </c>
      <c r="AO100" s="279" t="s">
        <v>163</v>
      </c>
      <c r="AP100" s="279" t="s">
        <v>163</v>
      </c>
      <c r="AQ100" s="279" t="s">
        <v>163</v>
      </c>
      <c r="AR100" s="279" t="s">
        <v>163</v>
      </c>
      <c r="AS100" s="279" t="s">
        <v>163</v>
      </c>
      <c r="AT100" s="279" t="s">
        <v>163</v>
      </c>
    </row>
    <row r="101" spans="1:46" ht="45.75">
      <c r="A101" s="57" t="s">
        <v>95</v>
      </c>
      <c r="B101" s="57" t="s">
        <v>94</v>
      </c>
      <c r="C101" s="59">
        <v>1</v>
      </c>
      <c r="F101" s="5" t="s">
        <v>396</v>
      </c>
      <c r="L101" s="291" t="s">
        <v>284</v>
      </c>
      <c r="M101" s="282" t="s">
        <v>285</v>
      </c>
      <c r="N101" s="291" t="s">
        <v>286</v>
      </c>
      <c r="O101" s="291" t="s">
        <v>654</v>
      </c>
      <c r="P101" s="321" t="s">
        <v>287</v>
      </c>
      <c r="Q101" s="291" t="s">
        <v>288</v>
      </c>
      <c r="R101" s="279" t="s">
        <v>163</v>
      </c>
      <c r="S101" s="279" t="s">
        <v>215</v>
      </c>
      <c r="T101" s="291" t="s">
        <v>163</v>
      </c>
      <c r="U101" s="279" t="s">
        <v>163</v>
      </c>
      <c r="V101" s="279">
        <v>0</v>
      </c>
      <c r="W101" s="291" t="s">
        <v>163</v>
      </c>
      <c r="X101" s="279" t="s">
        <v>163</v>
      </c>
      <c r="Y101" s="279" t="s">
        <v>163</v>
      </c>
      <c r="Z101" s="279">
        <v>1</v>
      </c>
      <c r="AA101" s="279" t="s">
        <v>163</v>
      </c>
      <c r="AB101" s="279" t="s">
        <v>224</v>
      </c>
      <c r="AC101" s="279">
        <v>3</v>
      </c>
      <c r="AD101" s="279" t="s">
        <v>225</v>
      </c>
      <c r="AE101" s="280" t="s">
        <v>681</v>
      </c>
      <c r="AF101" s="291" t="s">
        <v>163</v>
      </c>
      <c r="AG101" s="279" t="s">
        <v>163</v>
      </c>
      <c r="AH101" s="279" t="s">
        <v>163</v>
      </c>
      <c r="AI101" s="279" t="s">
        <v>163</v>
      </c>
      <c r="AJ101" s="279" t="s">
        <v>290</v>
      </c>
      <c r="AK101" s="279" t="s">
        <v>291</v>
      </c>
      <c r="AL101" s="279" t="s">
        <v>292</v>
      </c>
      <c r="AM101" s="279" t="s">
        <v>293</v>
      </c>
      <c r="AN101" s="279" t="s">
        <v>294</v>
      </c>
      <c r="AO101" s="279">
        <v>0</v>
      </c>
      <c r="AP101" s="279" t="s">
        <v>214</v>
      </c>
      <c r="AQ101" s="279" t="s">
        <v>295</v>
      </c>
      <c r="AR101" s="279" t="s">
        <v>163</v>
      </c>
      <c r="AS101" s="279" t="s">
        <v>163</v>
      </c>
      <c r="AT101" s="279" t="s">
        <v>163</v>
      </c>
    </row>
    <row r="102" spans="1:46" ht="45.75">
      <c r="A102" s="57" t="s">
        <v>96</v>
      </c>
      <c r="B102" s="57" t="s">
        <v>94</v>
      </c>
      <c r="C102" s="59">
        <v>2</v>
      </c>
      <c r="D102" s="57" t="s">
        <v>682</v>
      </c>
      <c r="F102" s="5" t="s">
        <v>402</v>
      </c>
      <c r="L102" s="291" t="s">
        <v>284</v>
      </c>
      <c r="M102" s="282" t="s">
        <v>298</v>
      </c>
      <c r="N102" s="291" t="s">
        <v>286</v>
      </c>
      <c r="O102" s="291" t="s">
        <v>654</v>
      </c>
      <c r="P102" s="321" t="s">
        <v>287</v>
      </c>
      <c r="Q102" s="291" t="s">
        <v>288</v>
      </c>
      <c r="R102" s="279" t="s">
        <v>163</v>
      </c>
      <c r="S102" s="279" t="s">
        <v>215</v>
      </c>
      <c r="T102" s="291" t="s">
        <v>163</v>
      </c>
      <c r="U102" s="279" t="s">
        <v>163</v>
      </c>
      <c r="V102" s="279">
        <v>0</v>
      </c>
      <c r="W102" s="291" t="s">
        <v>163</v>
      </c>
      <c r="X102" s="279" t="s">
        <v>163</v>
      </c>
      <c r="Y102" s="279" t="s">
        <v>163</v>
      </c>
      <c r="Z102" s="279">
        <v>1</v>
      </c>
      <c r="AA102" s="279" t="s">
        <v>163</v>
      </c>
      <c r="AB102" s="279" t="s">
        <v>224</v>
      </c>
      <c r="AC102" s="279">
        <v>3</v>
      </c>
      <c r="AD102" s="279" t="s">
        <v>225</v>
      </c>
      <c r="AE102" s="280" t="s">
        <v>683</v>
      </c>
      <c r="AF102" s="291" t="s">
        <v>163</v>
      </c>
      <c r="AG102" s="279" t="s">
        <v>163</v>
      </c>
      <c r="AH102" s="279" t="s">
        <v>163</v>
      </c>
      <c r="AI102" s="279" t="s">
        <v>163</v>
      </c>
      <c r="AJ102" s="279" t="s">
        <v>290</v>
      </c>
      <c r="AK102" s="279" t="s">
        <v>291</v>
      </c>
      <c r="AL102" s="279" t="s">
        <v>300</v>
      </c>
      <c r="AM102" s="279" t="s">
        <v>301</v>
      </c>
      <c r="AN102" s="279" t="s">
        <v>294</v>
      </c>
      <c r="AO102" s="279">
        <v>0</v>
      </c>
      <c r="AP102" s="279" t="s">
        <v>214</v>
      </c>
      <c r="AQ102" s="279" t="s">
        <v>295</v>
      </c>
      <c r="AR102" s="279" t="s">
        <v>163</v>
      </c>
      <c r="AS102" s="279" t="s">
        <v>163</v>
      </c>
      <c r="AT102" s="279" t="s">
        <v>163</v>
      </c>
    </row>
    <row r="103" spans="1:46" ht="45.75">
      <c r="A103" s="57" t="s">
        <v>97</v>
      </c>
      <c r="B103" s="57" t="s">
        <v>94</v>
      </c>
      <c r="C103" s="59">
        <v>3</v>
      </c>
      <c r="D103" s="57" t="s">
        <v>684</v>
      </c>
      <c r="L103" s="291" t="s">
        <v>284</v>
      </c>
      <c r="M103" s="282" t="s">
        <v>303</v>
      </c>
      <c r="N103" s="291" t="s">
        <v>286</v>
      </c>
      <c r="O103" s="291" t="s">
        <v>654</v>
      </c>
      <c r="P103" s="321" t="s">
        <v>287</v>
      </c>
      <c r="Q103" s="291" t="s">
        <v>288</v>
      </c>
      <c r="R103" s="279" t="s">
        <v>163</v>
      </c>
      <c r="S103" s="279" t="s">
        <v>215</v>
      </c>
      <c r="T103" s="291" t="s">
        <v>163</v>
      </c>
      <c r="U103" s="279" t="s">
        <v>163</v>
      </c>
      <c r="V103" s="279">
        <v>0</v>
      </c>
      <c r="W103" s="291" t="s">
        <v>163</v>
      </c>
      <c r="X103" s="279" t="s">
        <v>163</v>
      </c>
      <c r="Y103" s="279" t="s">
        <v>163</v>
      </c>
      <c r="Z103" s="279">
        <v>1</v>
      </c>
      <c r="AA103" s="279" t="s">
        <v>163</v>
      </c>
      <c r="AB103" s="279" t="s">
        <v>224</v>
      </c>
      <c r="AC103" s="279">
        <v>3</v>
      </c>
      <c r="AD103" s="279" t="s">
        <v>225</v>
      </c>
      <c r="AE103" s="280" t="s">
        <v>685</v>
      </c>
      <c r="AF103" s="291" t="s">
        <v>163</v>
      </c>
      <c r="AG103" s="279" t="s">
        <v>163</v>
      </c>
      <c r="AH103" s="279" t="s">
        <v>163</v>
      </c>
      <c r="AI103" s="279" t="s">
        <v>163</v>
      </c>
      <c r="AJ103" s="279" t="s">
        <v>290</v>
      </c>
      <c r="AK103" s="279" t="s">
        <v>291</v>
      </c>
      <c r="AL103" s="279" t="s">
        <v>305</v>
      </c>
      <c r="AM103" s="279" t="s">
        <v>306</v>
      </c>
      <c r="AN103" s="279" t="s">
        <v>294</v>
      </c>
      <c r="AO103" s="279">
        <v>0</v>
      </c>
      <c r="AP103" s="279" t="s">
        <v>214</v>
      </c>
      <c r="AQ103" s="279" t="s">
        <v>295</v>
      </c>
      <c r="AR103" s="279" t="s">
        <v>163</v>
      </c>
      <c r="AS103" s="279" t="s">
        <v>163</v>
      </c>
      <c r="AT103" s="279" t="s">
        <v>163</v>
      </c>
    </row>
    <row r="104" spans="1:46" ht="45.75">
      <c r="A104" s="57" t="s">
        <v>98</v>
      </c>
      <c r="B104" s="57" t="s">
        <v>94</v>
      </c>
      <c r="C104" s="59">
        <v>4</v>
      </c>
      <c r="D104" s="57" t="s">
        <v>686</v>
      </c>
      <c r="L104" s="291" t="s">
        <v>284</v>
      </c>
      <c r="M104" s="282" t="s">
        <v>308</v>
      </c>
      <c r="N104" s="291" t="s">
        <v>286</v>
      </c>
      <c r="O104" s="291" t="s">
        <v>654</v>
      </c>
      <c r="P104" s="321" t="s">
        <v>287</v>
      </c>
      <c r="Q104" s="291" t="s">
        <v>288</v>
      </c>
      <c r="R104" s="279" t="s">
        <v>163</v>
      </c>
      <c r="S104" s="279" t="s">
        <v>215</v>
      </c>
      <c r="T104" s="291" t="s">
        <v>163</v>
      </c>
      <c r="U104" s="279" t="s">
        <v>163</v>
      </c>
      <c r="V104" s="279">
        <v>0</v>
      </c>
      <c r="W104" s="291" t="s">
        <v>163</v>
      </c>
      <c r="X104" s="279" t="s">
        <v>163</v>
      </c>
      <c r="Y104" s="279" t="s">
        <v>163</v>
      </c>
      <c r="Z104" s="279">
        <v>1</v>
      </c>
      <c r="AA104" s="279" t="s">
        <v>163</v>
      </c>
      <c r="AB104" s="279" t="s">
        <v>224</v>
      </c>
      <c r="AC104" s="279">
        <v>3</v>
      </c>
      <c r="AD104" s="279" t="s">
        <v>225</v>
      </c>
      <c r="AE104" s="280" t="s">
        <v>687</v>
      </c>
      <c r="AF104" s="291" t="s">
        <v>163</v>
      </c>
      <c r="AG104" s="279" t="s">
        <v>163</v>
      </c>
      <c r="AH104" s="279" t="s">
        <v>163</v>
      </c>
      <c r="AI104" s="279" t="s">
        <v>163</v>
      </c>
      <c r="AJ104" s="279" t="s">
        <v>290</v>
      </c>
      <c r="AK104" s="279" t="s">
        <v>291</v>
      </c>
      <c r="AL104" s="279" t="s">
        <v>310</v>
      </c>
      <c r="AM104" s="279" t="s">
        <v>311</v>
      </c>
      <c r="AN104" s="279" t="s">
        <v>294</v>
      </c>
      <c r="AO104" s="279">
        <v>0</v>
      </c>
      <c r="AP104" s="279" t="s">
        <v>214</v>
      </c>
      <c r="AQ104" s="279" t="s">
        <v>295</v>
      </c>
      <c r="AR104" s="279" t="s">
        <v>163</v>
      </c>
      <c r="AS104" s="279" t="s">
        <v>163</v>
      </c>
      <c r="AT104" s="279" t="s">
        <v>163</v>
      </c>
    </row>
    <row r="105" spans="1:46" ht="106.5">
      <c r="A105" s="57" t="s">
        <v>99</v>
      </c>
      <c r="B105" s="57" t="s">
        <v>94</v>
      </c>
      <c r="C105" s="59">
        <v>5</v>
      </c>
      <c r="D105" s="57" t="s">
        <v>688</v>
      </c>
      <c r="L105" s="291" t="s">
        <v>313</v>
      </c>
      <c r="M105" s="282" t="s">
        <v>689</v>
      </c>
      <c r="N105" s="291" t="s">
        <v>315</v>
      </c>
      <c r="O105" s="291" t="s">
        <v>654</v>
      </c>
      <c r="P105" s="291" t="s">
        <v>316</v>
      </c>
      <c r="Q105" s="291" t="s">
        <v>317</v>
      </c>
      <c r="R105" s="279" t="s">
        <v>163</v>
      </c>
      <c r="S105" s="279" t="s">
        <v>163</v>
      </c>
      <c r="T105" s="291" t="s">
        <v>318</v>
      </c>
      <c r="U105" s="335" t="s">
        <v>446</v>
      </c>
      <c r="V105" s="279">
        <v>0</v>
      </c>
      <c r="W105" s="291" t="s">
        <v>163</v>
      </c>
      <c r="X105" s="279" t="s">
        <v>163</v>
      </c>
      <c r="Y105" s="279" t="s">
        <v>163</v>
      </c>
      <c r="Z105" s="279">
        <v>1</v>
      </c>
      <c r="AA105" s="279" t="s">
        <v>163</v>
      </c>
      <c r="AB105" s="279" t="s">
        <v>224</v>
      </c>
      <c r="AC105" s="279" t="s">
        <v>163</v>
      </c>
      <c r="AD105" s="279" t="s">
        <v>320</v>
      </c>
      <c r="AE105" s="280" t="s">
        <v>690</v>
      </c>
      <c r="AF105" s="291" t="s">
        <v>332</v>
      </c>
      <c r="AG105" s="279" t="s">
        <v>163</v>
      </c>
      <c r="AH105" s="279" t="s">
        <v>163</v>
      </c>
      <c r="AI105" s="279" t="s">
        <v>163</v>
      </c>
      <c r="AJ105" s="279" t="s">
        <v>163</v>
      </c>
      <c r="AK105" s="279" t="s">
        <v>163</v>
      </c>
      <c r="AL105" s="279" t="s">
        <v>163</v>
      </c>
      <c r="AM105" s="279" t="s">
        <v>163</v>
      </c>
      <c r="AN105" s="279" t="s">
        <v>163</v>
      </c>
      <c r="AO105" s="279" t="s">
        <v>163</v>
      </c>
      <c r="AP105" s="279" t="s">
        <v>163</v>
      </c>
      <c r="AQ105" s="279" t="s">
        <v>163</v>
      </c>
      <c r="AR105" s="279" t="s">
        <v>163</v>
      </c>
      <c r="AS105" s="279" t="s">
        <v>163</v>
      </c>
      <c r="AT105" s="279" t="s">
        <v>163</v>
      </c>
    </row>
    <row r="106" spans="1:46" ht="121.5">
      <c r="A106" s="57" t="s">
        <v>100</v>
      </c>
      <c r="B106" s="57" t="s">
        <v>94</v>
      </c>
      <c r="C106" s="59">
        <v>6</v>
      </c>
      <c r="D106" s="57" t="s">
        <v>691</v>
      </c>
      <c r="F106" s="5" t="s">
        <v>420</v>
      </c>
      <c r="L106" s="291" t="s">
        <v>313</v>
      </c>
      <c r="M106" s="282" t="s">
        <v>692</v>
      </c>
      <c r="N106" s="291" t="s">
        <v>315</v>
      </c>
      <c r="O106" s="291" t="s">
        <v>654</v>
      </c>
      <c r="P106" s="291" t="s">
        <v>316</v>
      </c>
      <c r="Q106" s="291" t="s">
        <v>317</v>
      </c>
      <c r="R106" s="279" t="s">
        <v>163</v>
      </c>
      <c r="S106" s="279" t="s">
        <v>163</v>
      </c>
      <c r="T106" s="291" t="s">
        <v>318</v>
      </c>
      <c r="U106" s="335" t="s">
        <v>450</v>
      </c>
      <c r="V106" s="279">
        <v>0</v>
      </c>
      <c r="W106" s="291" t="s">
        <v>163</v>
      </c>
      <c r="X106" s="279" t="s">
        <v>163</v>
      </c>
      <c r="Y106" s="279" t="s">
        <v>163</v>
      </c>
      <c r="Z106" s="279">
        <v>1</v>
      </c>
      <c r="AA106" s="279" t="s">
        <v>163</v>
      </c>
      <c r="AB106" s="279" t="s">
        <v>224</v>
      </c>
      <c r="AC106" s="279" t="s">
        <v>163</v>
      </c>
      <c r="AD106" s="279" t="s">
        <v>320</v>
      </c>
      <c r="AE106" s="280" t="s">
        <v>693</v>
      </c>
      <c r="AF106" s="291" t="s">
        <v>332</v>
      </c>
      <c r="AG106" s="279" t="s">
        <v>163</v>
      </c>
      <c r="AH106" s="279" t="s">
        <v>163</v>
      </c>
      <c r="AI106" s="279" t="s">
        <v>163</v>
      </c>
      <c r="AJ106" s="279" t="s">
        <v>163</v>
      </c>
      <c r="AK106" s="279" t="s">
        <v>163</v>
      </c>
      <c r="AL106" s="279" t="s">
        <v>163</v>
      </c>
      <c r="AM106" s="279" t="s">
        <v>163</v>
      </c>
      <c r="AN106" s="279" t="s">
        <v>163</v>
      </c>
      <c r="AO106" s="279" t="s">
        <v>163</v>
      </c>
      <c r="AP106" s="279" t="s">
        <v>163</v>
      </c>
      <c r="AQ106" s="279" t="s">
        <v>163</v>
      </c>
      <c r="AR106" s="279" t="s">
        <v>163</v>
      </c>
      <c r="AS106" s="279" t="s">
        <v>163</v>
      </c>
      <c r="AT106" s="279" t="s">
        <v>163</v>
      </c>
    </row>
    <row r="107" spans="1:46" ht="152.25">
      <c r="A107" s="57" t="s">
        <v>101</v>
      </c>
      <c r="B107" s="57" t="s">
        <v>94</v>
      </c>
      <c r="C107" s="59">
        <v>7</v>
      </c>
      <c r="D107" s="57" t="s">
        <v>694</v>
      </c>
      <c r="L107" s="291" t="s">
        <v>313</v>
      </c>
      <c r="M107" s="282" t="s">
        <v>695</v>
      </c>
      <c r="N107" s="291" t="s">
        <v>315</v>
      </c>
      <c r="O107" s="291" t="s">
        <v>654</v>
      </c>
      <c r="P107" s="291" t="s">
        <v>316</v>
      </c>
      <c r="Q107" s="291" t="s">
        <v>317</v>
      </c>
      <c r="R107" s="279" t="s">
        <v>163</v>
      </c>
      <c r="S107" s="279" t="s">
        <v>163</v>
      </c>
      <c r="T107" s="291" t="s">
        <v>318</v>
      </c>
      <c r="U107" s="335" t="s">
        <v>319</v>
      </c>
      <c r="V107" s="279">
        <v>0</v>
      </c>
      <c r="W107" s="291" t="s">
        <v>163</v>
      </c>
      <c r="X107" s="279" t="s">
        <v>163</v>
      </c>
      <c r="Y107" s="279" t="s">
        <v>163</v>
      </c>
      <c r="Z107" s="279">
        <v>1</v>
      </c>
      <c r="AA107" s="279" t="s">
        <v>163</v>
      </c>
      <c r="AB107" s="279" t="s">
        <v>224</v>
      </c>
      <c r="AC107" s="279" t="s">
        <v>163</v>
      </c>
      <c r="AD107" s="279" t="s">
        <v>320</v>
      </c>
      <c r="AE107" s="280" t="s">
        <v>696</v>
      </c>
      <c r="AF107" s="291" t="s">
        <v>455</v>
      </c>
      <c r="AG107" s="279" t="s">
        <v>163</v>
      </c>
      <c r="AH107" s="279" t="s">
        <v>163</v>
      </c>
      <c r="AI107" s="279" t="s">
        <v>163</v>
      </c>
      <c r="AJ107" s="279" t="s">
        <v>163</v>
      </c>
      <c r="AK107" s="279" t="s">
        <v>163</v>
      </c>
      <c r="AL107" s="279" t="s">
        <v>163</v>
      </c>
      <c r="AM107" s="279" t="s">
        <v>163</v>
      </c>
      <c r="AN107" s="279" t="s">
        <v>163</v>
      </c>
      <c r="AO107" s="279" t="s">
        <v>163</v>
      </c>
      <c r="AP107" s="279" t="s">
        <v>163</v>
      </c>
      <c r="AQ107" s="279" t="s">
        <v>163</v>
      </c>
      <c r="AR107" s="279" t="s">
        <v>163</v>
      </c>
      <c r="AS107" s="279" t="s">
        <v>163</v>
      </c>
      <c r="AT107" s="279" t="s">
        <v>163</v>
      </c>
    </row>
    <row r="108" spans="1:46" ht="137.25">
      <c r="A108" s="57" t="s">
        <v>102</v>
      </c>
      <c r="B108" s="57" t="s">
        <v>94</v>
      </c>
      <c r="C108" s="59">
        <v>8</v>
      </c>
      <c r="D108" s="57" t="s">
        <v>697</v>
      </c>
      <c r="F108" s="5" t="s">
        <v>271</v>
      </c>
      <c r="L108" s="291" t="s">
        <v>313</v>
      </c>
      <c r="M108" s="282" t="s">
        <v>698</v>
      </c>
      <c r="N108" s="291" t="s">
        <v>315</v>
      </c>
      <c r="O108" s="291" t="s">
        <v>654</v>
      </c>
      <c r="P108" s="291" t="s">
        <v>316</v>
      </c>
      <c r="Q108" s="291" t="s">
        <v>317</v>
      </c>
      <c r="R108" s="279" t="s">
        <v>163</v>
      </c>
      <c r="S108" s="279" t="s">
        <v>163</v>
      </c>
      <c r="T108" s="291" t="s">
        <v>329</v>
      </c>
      <c r="U108" s="335" t="s">
        <v>459</v>
      </c>
      <c r="V108" s="279">
        <v>0</v>
      </c>
      <c r="W108" s="291" t="s">
        <v>163</v>
      </c>
      <c r="X108" s="279" t="s">
        <v>163</v>
      </c>
      <c r="Y108" s="279" t="s">
        <v>163</v>
      </c>
      <c r="Z108" s="279">
        <v>1</v>
      </c>
      <c r="AA108" s="279" t="s">
        <v>163</v>
      </c>
      <c r="AB108" s="279" t="s">
        <v>224</v>
      </c>
      <c r="AC108" s="279" t="s">
        <v>163</v>
      </c>
      <c r="AD108" s="279" t="s">
        <v>320</v>
      </c>
      <c r="AE108" s="280" t="s">
        <v>699</v>
      </c>
      <c r="AF108" s="291" t="s">
        <v>332</v>
      </c>
      <c r="AG108" s="279" t="s">
        <v>163</v>
      </c>
      <c r="AH108" s="279" t="s">
        <v>163</v>
      </c>
      <c r="AI108" s="279" t="s">
        <v>163</v>
      </c>
      <c r="AJ108" s="279" t="s">
        <v>163</v>
      </c>
      <c r="AK108" s="279" t="s">
        <v>163</v>
      </c>
      <c r="AL108" s="279" t="s">
        <v>163</v>
      </c>
      <c r="AM108" s="279" t="s">
        <v>163</v>
      </c>
      <c r="AN108" s="279" t="s">
        <v>163</v>
      </c>
      <c r="AO108" s="279" t="s">
        <v>163</v>
      </c>
      <c r="AP108" s="279" t="s">
        <v>163</v>
      </c>
      <c r="AQ108" s="279" t="s">
        <v>163</v>
      </c>
      <c r="AR108" s="279" t="s">
        <v>163</v>
      </c>
      <c r="AS108" s="279" t="s">
        <v>163</v>
      </c>
      <c r="AT108" s="279" t="s">
        <v>163</v>
      </c>
    </row>
    <row r="109" spans="1:46" ht="106.5">
      <c r="A109" s="57" t="s">
        <v>103</v>
      </c>
      <c r="B109" s="57" t="s">
        <v>94</v>
      </c>
      <c r="C109" s="59">
        <v>9</v>
      </c>
      <c r="D109" s="57" t="s">
        <v>700</v>
      </c>
      <c r="F109" s="63" t="s">
        <v>430</v>
      </c>
      <c r="L109" s="291" t="s">
        <v>313</v>
      </c>
      <c r="M109" s="282" t="s">
        <v>701</v>
      </c>
      <c r="N109" s="291" t="s">
        <v>315</v>
      </c>
      <c r="O109" s="291" t="s">
        <v>654</v>
      </c>
      <c r="P109" s="291" t="s">
        <v>316</v>
      </c>
      <c r="Q109" s="291" t="s">
        <v>317</v>
      </c>
      <c r="R109" s="279" t="s">
        <v>163</v>
      </c>
      <c r="S109" s="279" t="s">
        <v>163</v>
      </c>
      <c r="T109" s="291" t="s">
        <v>329</v>
      </c>
      <c r="U109" s="335" t="s">
        <v>464</v>
      </c>
      <c r="V109" s="279">
        <v>0</v>
      </c>
      <c r="W109" s="291" t="s">
        <v>163</v>
      </c>
      <c r="X109" s="279" t="s">
        <v>163</v>
      </c>
      <c r="Y109" s="279" t="s">
        <v>163</v>
      </c>
      <c r="Z109" s="279">
        <v>1</v>
      </c>
      <c r="AA109" s="279" t="s">
        <v>163</v>
      </c>
      <c r="AB109" s="279" t="s">
        <v>224</v>
      </c>
      <c r="AC109" s="279" t="s">
        <v>163</v>
      </c>
      <c r="AD109" s="279" t="s">
        <v>320</v>
      </c>
      <c r="AE109" s="280" t="s">
        <v>702</v>
      </c>
      <c r="AF109" s="291" t="s">
        <v>332</v>
      </c>
      <c r="AG109" s="279" t="s">
        <v>163</v>
      </c>
      <c r="AH109" s="279" t="s">
        <v>163</v>
      </c>
      <c r="AI109" s="279" t="s">
        <v>163</v>
      </c>
      <c r="AJ109" s="279" t="s">
        <v>163</v>
      </c>
      <c r="AK109" s="279" t="s">
        <v>163</v>
      </c>
      <c r="AL109" s="279" t="s">
        <v>163</v>
      </c>
      <c r="AM109" s="279" t="s">
        <v>163</v>
      </c>
      <c r="AN109" s="279" t="s">
        <v>163</v>
      </c>
      <c r="AO109" s="279" t="s">
        <v>163</v>
      </c>
      <c r="AP109" s="279" t="s">
        <v>163</v>
      </c>
      <c r="AQ109" s="279" t="s">
        <v>163</v>
      </c>
      <c r="AR109" s="279" t="s">
        <v>163</v>
      </c>
      <c r="AS109" s="279" t="s">
        <v>163</v>
      </c>
      <c r="AT109" s="279" t="s">
        <v>163</v>
      </c>
    </row>
    <row r="110" spans="1:46" ht="106.5">
      <c r="A110" s="57" t="s">
        <v>104</v>
      </c>
      <c r="B110" s="57" t="s">
        <v>94</v>
      </c>
      <c r="C110" s="59">
        <v>10</v>
      </c>
      <c r="D110" s="57" t="s">
        <v>703</v>
      </c>
      <c r="F110" s="5" t="s">
        <v>434</v>
      </c>
      <c r="L110" s="291" t="s">
        <v>163</v>
      </c>
      <c r="M110" s="282" t="s">
        <v>704</v>
      </c>
      <c r="N110" s="291" t="s">
        <v>219</v>
      </c>
      <c r="O110" s="291" t="s">
        <v>654</v>
      </c>
      <c r="P110" s="309" t="s">
        <v>214</v>
      </c>
      <c r="Q110" s="291" t="s">
        <v>221</v>
      </c>
      <c r="R110" s="279" t="s">
        <v>324</v>
      </c>
      <c r="S110" s="279" t="s">
        <v>215</v>
      </c>
      <c r="T110" s="291" t="s">
        <v>163</v>
      </c>
      <c r="U110" s="335" t="s">
        <v>163</v>
      </c>
      <c r="V110" s="279">
        <v>0</v>
      </c>
      <c r="W110" s="291" t="s">
        <v>163</v>
      </c>
      <c r="X110" s="279" t="s">
        <v>163</v>
      </c>
      <c r="Y110" s="279" t="s">
        <v>163</v>
      </c>
      <c r="Z110" s="279">
        <v>1</v>
      </c>
      <c r="AA110" s="279" t="s">
        <v>223</v>
      </c>
      <c r="AB110" s="279" t="s">
        <v>224</v>
      </c>
      <c r="AC110" s="279">
        <v>3</v>
      </c>
      <c r="AD110" s="279" t="s">
        <v>225</v>
      </c>
      <c r="AE110" s="280" t="s">
        <v>705</v>
      </c>
      <c r="AF110" s="291" t="s">
        <v>163</v>
      </c>
      <c r="AG110" s="279" t="s">
        <v>163</v>
      </c>
      <c r="AH110" s="279" t="s">
        <v>227</v>
      </c>
      <c r="AI110" s="279" t="s">
        <v>228</v>
      </c>
      <c r="AJ110" s="279" t="s">
        <v>163</v>
      </c>
      <c r="AK110" s="279" t="s">
        <v>163</v>
      </c>
      <c r="AL110" s="279" t="s">
        <v>163</v>
      </c>
      <c r="AM110" s="279" t="s">
        <v>163</v>
      </c>
      <c r="AN110" s="279" t="s">
        <v>163</v>
      </c>
      <c r="AO110" s="279" t="s">
        <v>163</v>
      </c>
      <c r="AP110" s="279" t="s">
        <v>163</v>
      </c>
      <c r="AQ110" s="279" t="s">
        <v>163</v>
      </c>
      <c r="AR110" s="279" t="s">
        <v>163</v>
      </c>
      <c r="AS110" s="279" t="s">
        <v>163</v>
      </c>
      <c r="AT110" s="279" t="s">
        <v>163</v>
      </c>
    </row>
    <row r="111" spans="1:46" ht="45.75">
      <c r="A111" s="57" t="s">
        <v>105</v>
      </c>
      <c r="B111" s="57" t="s">
        <v>94</v>
      </c>
      <c r="C111" s="59">
        <v>11</v>
      </c>
      <c r="D111" s="57" t="s">
        <v>706</v>
      </c>
      <c r="F111" s="5" t="s">
        <v>438</v>
      </c>
      <c r="L111" s="291" t="s">
        <v>313</v>
      </c>
      <c r="M111" s="282" t="s">
        <v>472</v>
      </c>
      <c r="N111" s="291" t="s">
        <v>315</v>
      </c>
      <c r="O111" s="291" t="s">
        <v>654</v>
      </c>
      <c r="P111" s="291" t="s">
        <v>316</v>
      </c>
      <c r="Q111" s="291" t="s">
        <v>317</v>
      </c>
      <c r="R111" s="279" t="s">
        <v>163</v>
      </c>
      <c r="S111" s="279" t="s">
        <v>163</v>
      </c>
      <c r="T111" s="291" t="s">
        <v>329</v>
      </c>
      <c r="U111" s="335" t="s">
        <v>473</v>
      </c>
      <c r="V111" s="279">
        <v>0</v>
      </c>
      <c r="W111" s="291" t="s">
        <v>163</v>
      </c>
      <c r="X111" s="279" t="s">
        <v>163</v>
      </c>
      <c r="Y111" s="279" t="s">
        <v>163</v>
      </c>
      <c r="Z111" s="279">
        <v>1</v>
      </c>
      <c r="AA111" s="279" t="s">
        <v>163</v>
      </c>
      <c r="AB111" s="279" t="s">
        <v>224</v>
      </c>
      <c r="AC111" s="279" t="s">
        <v>163</v>
      </c>
      <c r="AD111" s="279" t="s">
        <v>320</v>
      </c>
      <c r="AE111" s="280" t="s">
        <v>707</v>
      </c>
      <c r="AF111" s="291" t="s">
        <v>332</v>
      </c>
      <c r="AG111" s="279" t="s">
        <v>163</v>
      </c>
      <c r="AH111" s="279" t="s">
        <v>163</v>
      </c>
      <c r="AI111" s="279" t="s">
        <v>163</v>
      </c>
      <c r="AJ111" s="279" t="s">
        <v>163</v>
      </c>
      <c r="AK111" s="279" t="s">
        <v>163</v>
      </c>
      <c r="AL111" s="279" t="s">
        <v>163</v>
      </c>
      <c r="AM111" s="279" t="s">
        <v>163</v>
      </c>
      <c r="AN111" s="279" t="s">
        <v>163</v>
      </c>
      <c r="AO111" s="279" t="s">
        <v>163</v>
      </c>
      <c r="AP111" s="279" t="s">
        <v>163</v>
      </c>
      <c r="AQ111" s="279" t="s">
        <v>163</v>
      </c>
      <c r="AR111" s="279" t="s">
        <v>163</v>
      </c>
      <c r="AS111" s="279" t="s">
        <v>163</v>
      </c>
      <c r="AT111" s="279" t="s">
        <v>163</v>
      </c>
    </row>
    <row r="112" spans="1:46" ht="45.75">
      <c r="A112" s="57" t="s">
        <v>106</v>
      </c>
      <c r="B112" s="57" t="s">
        <v>94</v>
      </c>
      <c r="C112" s="59">
        <v>12</v>
      </c>
      <c r="D112" s="57" t="s">
        <v>708</v>
      </c>
      <c r="L112" s="291" t="s">
        <v>313</v>
      </c>
      <c r="M112" s="282" t="s">
        <v>477</v>
      </c>
      <c r="N112" s="291" t="s">
        <v>315</v>
      </c>
      <c r="O112" s="291" t="s">
        <v>654</v>
      </c>
      <c r="P112" s="291" t="s">
        <v>316</v>
      </c>
      <c r="Q112" s="291" t="s">
        <v>317</v>
      </c>
      <c r="R112" s="279" t="s">
        <v>163</v>
      </c>
      <c r="S112" s="279" t="s">
        <v>163</v>
      </c>
      <c r="T112" s="291" t="s">
        <v>329</v>
      </c>
      <c r="U112" s="335" t="s">
        <v>478</v>
      </c>
      <c r="V112" s="279">
        <v>0</v>
      </c>
      <c r="W112" s="291" t="s">
        <v>163</v>
      </c>
      <c r="X112" s="279" t="s">
        <v>163</v>
      </c>
      <c r="Y112" s="279" t="s">
        <v>163</v>
      </c>
      <c r="Z112" s="279">
        <v>1</v>
      </c>
      <c r="AA112" s="279" t="s">
        <v>163</v>
      </c>
      <c r="AB112" s="279" t="s">
        <v>224</v>
      </c>
      <c r="AC112" s="279" t="s">
        <v>163</v>
      </c>
      <c r="AD112" s="279" t="s">
        <v>320</v>
      </c>
      <c r="AE112" s="280" t="s">
        <v>709</v>
      </c>
      <c r="AF112" s="291" t="s">
        <v>332</v>
      </c>
      <c r="AG112" s="279" t="s">
        <v>163</v>
      </c>
      <c r="AH112" s="279" t="s">
        <v>163</v>
      </c>
      <c r="AI112" s="279" t="s">
        <v>163</v>
      </c>
      <c r="AJ112" s="279" t="s">
        <v>163</v>
      </c>
      <c r="AK112" s="279" t="s">
        <v>163</v>
      </c>
      <c r="AL112" s="279" t="s">
        <v>163</v>
      </c>
      <c r="AM112" s="279" t="s">
        <v>163</v>
      </c>
      <c r="AN112" s="279" t="s">
        <v>163</v>
      </c>
      <c r="AO112" s="279" t="s">
        <v>163</v>
      </c>
      <c r="AP112" s="279" t="s">
        <v>163</v>
      </c>
      <c r="AQ112" s="279" t="s">
        <v>163</v>
      </c>
      <c r="AR112" s="279" t="s">
        <v>163</v>
      </c>
      <c r="AS112" s="279" t="s">
        <v>163</v>
      </c>
      <c r="AT112" s="279" t="s">
        <v>163</v>
      </c>
    </row>
    <row r="113" spans="1:46" ht="45.75">
      <c r="A113" s="57" t="s">
        <v>107</v>
      </c>
      <c r="B113" s="57" t="s">
        <v>94</v>
      </c>
      <c r="C113" s="59">
        <v>13</v>
      </c>
      <c r="D113" s="57" t="s">
        <v>710</v>
      </c>
      <c r="L113" s="291" t="s">
        <v>313</v>
      </c>
      <c r="M113" s="282" t="s">
        <v>481</v>
      </c>
      <c r="N113" s="291" t="s">
        <v>315</v>
      </c>
      <c r="O113" s="291" t="s">
        <v>654</v>
      </c>
      <c r="P113" s="291" t="s">
        <v>316</v>
      </c>
      <c r="Q113" s="291" t="s">
        <v>317</v>
      </c>
      <c r="R113" s="279" t="s">
        <v>163</v>
      </c>
      <c r="S113" s="279" t="s">
        <v>163</v>
      </c>
      <c r="T113" s="291" t="s">
        <v>329</v>
      </c>
      <c r="U113" s="335" t="s">
        <v>482</v>
      </c>
      <c r="V113" s="279">
        <v>0</v>
      </c>
      <c r="W113" s="291" t="s">
        <v>163</v>
      </c>
      <c r="X113" s="279" t="s">
        <v>163</v>
      </c>
      <c r="Y113" s="279" t="s">
        <v>163</v>
      </c>
      <c r="Z113" s="279">
        <v>1</v>
      </c>
      <c r="AA113" s="279" t="s">
        <v>163</v>
      </c>
      <c r="AB113" s="279" t="s">
        <v>224</v>
      </c>
      <c r="AC113" s="279" t="s">
        <v>163</v>
      </c>
      <c r="AD113" s="279" t="s">
        <v>320</v>
      </c>
      <c r="AE113" s="280" t="s">
        <v>711</v>
      </c>
      <c r="AF113" s="291" t="s">
        <v>332</v>
      </c>
      <c r="AG113" s="279" t="s">
        <v>163</v>
      </c>
      <c r="AH113" s="279" t="s">
        <v>163</v>
      </c>
      <c r="AI113" s="279" t="s">
        <v>163</v>
      </c>
      <c r="AJ113" s="279" t="s">
        <v>163</v>
      </c>
      <c r="AK113" s="279" t="s">
        <v>163</v>
      </c>
      <c r="AL113" s="279" t="s">
        <v>163</v>
      </c>
      <c r="AM113" s="279" t="s">
        <v>163</v>
      </c>
      <c r="AN113" s="279" t="s">
        <v>163</v>
      </c>
      <c r="AO113" s="279" t="s">
        <v>163</v>
      </c>
      <c r="AP113" s="279" t="s">
        <v>163</v>
      </c>
      <c r="AQ113" s="279" t="s">
        <v>163</v>
      </c>
      <c r="AR113" s="279" t="s">
        <v>163</v>
      </c>
      <c r="AS113" s="279" t="s">
        <v>163</v>
      </c>
      <c r="AT113" s="279" t="s">
        <v>163</v>
      </c>
    </row>
    <row r="114" spans="1:46" ht="30.75">
      <c r="A114" s="57" t="s">
        <v>108</v>
      </c>
      <c r="B114" s="57" t="s">
        <v>94</v>
      </c>
      <c r="C114" s="59">
        <v>14</v>
      </c>
      <c r="D114" s="57" t="s">
        <v>712</v>
      </c>
      <c r="L114" s="282" t="s">
        <v>713</v>
      </c>
      <c r="M114" s="325" t="s">
        <v>490</v>
      </c>
      <c r="N114" s="291" t="s">
        <v>219</v>
      </c>
      <c r="O114" s="291" t="s">
        <v>654</v>
      </c>
      <c r="P114" s="309" t="s">
        <v>214</v>
      </c>
      <c r="Q114" s="291" t="s">
        <v>221</v>
      </c>
      <c r="R114" s="279" t="s">
        <v>491</v>
      </c>
      <c r="S114" s="279" t="s">
        <v>492</v>
      </c>
      <c r="T114" s="291" t="s">
        <v>163</v>
      </c>
      <c r="U114" s="279" t="s">
        <v>163</v>
      </c>
      <c r="V114" s="279">
        <v>0</v>
      </c>
      <c r="W114" s="291" t="s">
        <v>163</v>
      </c>
      <c r="X114" s="279" t="s">
        <v>163</v>
      </c>
      <c r="Y114" s="279" t="s">
        <v>163</v>
      </c>
      <c r="Z114" s="279">
        <v>1</v>
      </c>
      <c r="AA114" s="279" t="s">
        <v>163</v>
      </c>
      <c r="AB114" s="279" t="s">
        <v>224</v>
      </c>
      <c r="AC114" s="279" t="s">
        <v>163</v>
      </c>
      <c r="AD114" s="279" t="s">
        <v>320</v>
      </c>
      <c r="AE114" s="280" t="s">
        <v>493</v>
      </c>
      <c r="AF114" s="291" t="s">
        <v>163</v>
      </c>
      <c r="AG114" s="279" t="s">
        <v>163</v>
      </c>
      <c r="AH114" s="279" t="s">
        <v>227</v>
      </c>
      <c r="AI114" s="279" t="s">
        <v>228</v>
      </c>
      <c r="AJ114" s="279" t="s">
        <v>163</v>
      </c>
      <c r="AK114" s="279" t="s">
        <v>163</v>
      </c>
      <c r="AL114" s="279" t="s">
        <v>163</v>
      </c>
      <c r="AM114" s="279" t="s">
        <v>163</v>
      </c>
      <c r="AN114" s="279" t="s">
        <v>163</v>
      </c>
      <c r="AO114" s="279" t="s">
        <v>163</v>
      </c>
      <c r="AP114" s="279" t="s">
        <v>163</v>
      </c>
      <c r="AQ114" s="279" t="s">
        <v>163</v>
      </c>
      <c r="AR114" s="279" t="s">
        <v>163</v>
      </c>
      <c r="AS114" s="279" t="s">
        <v>163</v>
      </c>
      <c r="AT114" s="279" t="s">
        <v>163</v>
      </c>
    </row>
    <row r="115" spans="1:46" ht="45.75">
      <c r="A115" s="57" t="s">
        <v>109</v>
      </c>
      <c r="B115" s="57" t="s">
        <v>94</v>
      </c>
      <c r="C115" s="59">
        <v>15</v>
      </c>
      <c r="D115" s="57" t="s">
        <v>714</v>
      </c>
      <c r="L115" s="291" t="s">
        <v>500</v>
      </c>
      <c r="M115" s="282" t="s">
        <v>501</v>
      </c>
      <c r="N115" s="291" t="s">
        <v>219</v>
      </c>
      <c r="O115" s="291" t="s">
        <v>654</v>
      </c>
      <c r="P115" s="309" t="s">
        <v>214</v>
      </c>
      <c r="Q115" s="291" t="s">
        <v>221</v>
      </c>
      <c r="R115" s="279" t="s">
        <v>502</v>
      </c>
      <c r="S115" s="279" t="s">
        <v>215</v>
      </c>
      <c r="T115" s="291" t="s">
        <v>163</v>
      </c>
      <c r="U115" s="279" t="s">
        <v>163</v>
      </c>
      <c r="V115" s="279">
        <v>0</v>
      </c>
      <c r="W115" s="291" t="s">
        <v>163</v>
      </c>
      <c r="X115" s="279" t="s">
        <v>163</v>
      </c>
      <c r="Y115" s="279" t="s">
        <v>163</v>
      </c>
      <c r="Z115" s="279">
        <v>1</v>
      </c>
      <c r="AA115" s="279" t="s">
        <v>163</v>
      </c>
      <c r="AB115" s="279" t="s">
        <v>224</v>
      </c>
      <c r="AC115" s="279" t="s">
        <v>163</v>
      </c>
      <c r="AD115" s="279" t="s">
        <v>320</v>
      </c>
      <c r="AE115" s="280" t="s">
        <v>503</v>
      </c>
      <c r="AF115" s="291" t="s">
        <v>163</v>
      </c>
      <c r="AG115" s="279" t="s">
        <v>163</v>
      </c>
      <c r="AH115" s="279" t="s">
        <v>227</v>
      </c>
      <c r="AI115" s="279" t="s">
        <v>228</v>
      </c>
      <c r="AJ115" s="279" t="s">
        <v>163</v>
      </c>
      <c r="AK115" s="279" t="s">
        <v>163</v>
      </c>
      <c r="AL115" s="279" t="s">
        <v>163</v>
      </c>
      <c r="AM115" s="279" t="s">
        <v>163</v>
      </c>
      <c r="AN115" s="279" t="s">
        <v>163</v>
      </c>
      <c r="AO115" s="279" t="s">
        <v>163</v>
      </c>
      <c r="AP115" s="279" t="s">
        <v>163</v>
      </c>
      <c r="AQ115" s="279" t="s">
        <v>163</v>
      </c>
      <c r="AR115" s="279" t="s">
        <v>163</v>
      </c>
      <c r="AS115" s="279" t="s">
        <v>163</v>
      </c>
      <c r="AT115" s="279" t="s">
        <v>163</v>
      </c>
    </row>
    <row r="116" spans="1:46" ht="45.75">
      <c r="A116" s="57" t="s">
        <v>110</v>
      </c>
      <c r="B116" s="57" t="s">
        <v>94</v>
      </c>
      <c r="C116" s="59">
        <v>16</v>
      </c>
      <c r="D116" s="57" t="s">
        <v>715</v>
      </c>
      <c r="F116" s="5" t="s">
        <v>457</v>
      </c>
      <c r="G116" s="57"/>
      <c r="L116" s="315" t="s">
        <v>313</v>
      </c>
      <c r="M116" s="323" t="s">
        <v>508</v>
      </c>
      <c r="N116" s="315" t="s">
        <v>315</v>
      </c>
      <c r="O116" s="315" t="s">
        <v>654</v>
      </c>
      <c r="P116" s="315" t="s">
        <v>316</v>
      </c>
      <c r="Q116" s="315" t="s">
        <v>317</v>
      </c>
      <c r="R116" s="334" t="s">
        <v>163</v>
      </c>
      <c r="S116" s="334" t="s">
        <v>163</v>
      </c>
      <c r="T116" s="315" t="s">
        <v>329</v>
      </c>
      <c r="U116" s="335" t="s">
        <v>509</v>
      </c>
      <c r="V116" s="334">
        <v>0</v>
      </c>
      <c r="W116" s="315" t="s">
        <v>163</v>
      </c>
      <c r="X116" s="334" t="s">
        <v>163</v>
      </c>
      <c r="Y116" s="334" t="s">
        <v>163</v>
      </c>
      <c r="Z116" s="334">
        <v>1</v>
      </c>
      <c r="AA116" s="334" t="s">
        <v>163</v>
      </c>
      <c r="AB116" s="334" t="s">
        <v>224</v>
      </c>
      <c r="AC116" s="334" t="s">
        <v>163</v>
      </c>
      <c r="AD116" s="334" t="s">
        <v>320</v>
      </c>
      <c r="AE116" s="345" t="s">
        <v>716</v>
      </c>
      <c r="AF116" s="315" t="s">
        <v>332</v>
      </c>
      <c r="AG116" s="334" t="s">
        <v>163</v>
      </c>
      <c r="AH116" s="334" t="s">
        <v>163</v>
      </c>
      <c r="AI116" s="334" t="s">
        <v>163</v>
      </c>
      <c r="AJ116" s="334" t="s">
        <v>163</v>
      </c>
      <c r="AK116" s="334" t="s">
        <v>163</v>
      </c>
      <c r="AL116" s="334" t="s">
        <v>163</v>
      </c>
      <c r="AM116" s="334" t="s">
        <v>163</v>
      </c>
      <c r="AN116" s="334" t="s">
        <v>163</v>
      </c>
      <c r="AO116" s="334" t="s">
        <v>163</v>
      </c>
      <c r="AP116" s="334" t="s">
        <v>163</v>
      </c>
      <c r="AQ116" s="334" t="s">
        <v>163</v>
      </c>
      <c r="AR116" s="334" t="s">
        <v>163</v>
      </c>
      <c r="AS116" s="334" t="s">
        <v>163</v>
      </c>
      <c r="AT116" s="334" t="s">
        <v>163</v>
      </c>
    </row>
    <row r="117" spans="1:46" ht="106.5">
      <c r="A117" s="57" t="s">
        <v>111</v>
      </c>
      <c r="B117" s="57" t="s">
        <v>94</v>
      </c>
      <c r="C117" s="59">
        <v>17</v>
      </c>
      <c r="D117" s="57" t="s">
        <v>717</v>
      </c>
      <c r="F117" s="5" t="s">
        <v>462</v>
      </c>
      <c r="G117" s="57"/>
      <c r="L117" s="319" t="s">
        <v>313</v>
      </c>
      <c r="M117" s="327" t="s">
        <v>718</v>
      </c>
      <c r="N117" s="319" t="s">
        <v>315</v>
      </c>
      <c r="O117" s="319" t="s">
        <v>654</v>
      </c>
      <c r="P117" s="319" t="s">
        <v>316</v>
      </c>
      <c r="Q117" s="319" t="s">
        <v>317</v>
      </c>
      <c r="R117" s="338" t="s">
        <v>163</v>
      </c>
      <c r="S117" s="338" t="s">
        <v>163</v>
      </c>
      <c r="T117" s="319" t="s">
        <v>329</v>
      </c>
      <c r="U117" s="340" t="s">
        <v>519</v>
      </c>
      <c r="V117" s="338">
        <v>0</v>
      </c>
      <c r="W117" s="319" t="s">
        <v>163</v>
      </c>
      <c r="X117" s="338" t="s">
        <v>163</v>
      </c>
      <c r="Y117" s="338" t="s">
        <v>163</v>
      </c>
      <c r="Z117" s="338">
        <v>1</v>
      </c>
      <c r="AA117" s="338" t="s">
        <v>163</v>
      </c>
      <c r="AB117" s="338" t="s">
        <v>224</v>
      </c>
      <c r="AC117" s="338" t="s">
        <v>163</v>
      </c>
      <c r="AD117" s="338" t="s">
        <v>320</v>
      </c>
      <c r="AE117" s="351" t="s">
        <v>719</v>
      </c>
      <c r="AF117" s="319" t="s">
        <v>332</v>
      </c>
      <c r="AG117" s="338" t="s">
        <v>163</v>
      </c>
      <c r="AH117" s="338" t="s">
        <v>163</v>
      </c>
      <c r="AI117" s="338" t="s">
        <v>163</v>
      </c>
      <c r="AJ117" s="338" t="s">
        <v>163</v>
      </c>
      <c r="AK117" s="338" t="s">
        <v>163</v>
      </c>
      <c r="AL117" s="338" t="s">
        <v>163</v>
      </c>
      <c r="AM117" s="338" t="s">
        <v>163</v>
      </c>
      <c r="AN117" s="338" t="s">
        <v>163</v>
      </c>
      <c r="AO117" s="338" t="s">
        <v>163</v>
      </c>
      <c r="AP117" s="338" t="s">
        <v>163</v>
      </c>
      <c r="AQ117" s="338" t="s">
        <v>163</v>
      </c>
      <c r="AR117" s="338" t="s">
        <v>163</v>
      </c>
      <c r="AS117" s="338" t="s">
        <v>163</v>
      </c>
      <c r="AT117" s="338" t="s">
        <v>163</v>
      </c>
    </row>
    <row r="118" spans="1:46" ht="45.75">
      <c r="A118" s="57" t="s">
        <v>112</v>
      </c>
      <c r="B118" s="57" t="s">
        <v>94</v>
      </c>
      <c r="C118" s="59">
        <v>18</v>
      </c>
      <c r="D118" s="57" t="s">
        <v>720</v>
      </c>
      <c r="F118" s="5" t="s">
        <v>467</v>
      </c>
      <c r="G118" s="57"/>
      <c r="L118" s="291" t="s">
        <v>163</v>
      </c>
      <c r="M118" s="282" t="s">
        <v>721</v>
      </c>
      <c r="N118" s="291" t="s">
        <v>213</v>
      </c>
      <c r="O118" s="291" t="s">
        <v>163</v>
      </c>
      <c r="P118" s="291" t="s">
        <v>214</v>
      </c>
      <c r="Q118" s="291" t="s">
        <v>163</v>
      </c>
      <c r="R118" s="279" t="s">
        <v>163</v>
      </c>
      <c r="S118" s="279" t="s">
        <v>215</v>
      </c>
      <c r="T118" s="291" t="s">
        <v>163</v>
      </c>
      <c r="U118" s="279" t="s">
        <v>163</v>
      </c>
      <c r="V118" s="279">
        <v>1</v>
      </c>
      <c r="W118" s="344">
        <v>0.375</v>
      </c>
      <c r="X118" s="279" t="s">
        <v>163</v>
      </c>
      <c r="Y118" s="279" t="s">
        <v>163</v>
      </c>
      <c r="Z118" s="279">
        <v>1</v>
      </c>
      <c r="AA118" s="279" t="s">
        <v>163</v>
      </c>
      <c r="AB118" s="279" t="s">
        <v>163</v>
      </c>
      <c r="AC118" s="279">
        <v>3</v>
      </c>
      <c r="AD118" s="279" t="s">
        <v>163</v>
      </c>
      <c r="AE118" s="280" t="s">
        <v>163</v>
      </c>
      <c r="AF118" s="291" t="s">
        <v>163</v>
      </c>
      <c r="AG118" s="279" t="s">
        <v>163</v>
      </c>
      <c r="AH118" s="279" t="s">
        <v>163</v>
      </c>
      <c r="AI118" s="279" t="s">
        <v>163</v>
      </c>
      <c r="AJ118" s="279" t="s">
        <v>163</v>
      </c>
      <c r="AK118" s="279" t="s">
        <v>163</v>
      </c>
      <c r="AL118" s="279" t="s">
        <v>163</v>
      </c>
      <c r="AM118" s="279" t="s">
        <v>163</v>
      </c>
      <c r="AN118" s="279" t="s">
        <v>163</v>
      </c>
      <c r="AO118" s="279" t="s">
        <v>163</v>
      </c>
      <c r="AP118" s="279" t="s">
        <v>163</v>
      </c>
      <c r="AQ118" s="279" t="s">
        <v>163</v>
      </c>
      <c r="AR118" s="279" t="s">
        <v>163</v>
      </c>
      <c r="AS118" s="279" t="s">
        <v>163</v>
      </c>
      <c r="AT118" s="279" t="s">
        <v>163</v>
      </c>
    </row>
    <row r="119" spans="1:46" ht="60.75">
      <c r="A119" s="57" t="s">
        <v>113</v>
      </c>
      <c r="B119" s="57" t="s">
        <v>94</v>
      </c>
      <c r="C119" s="59">
        <v>19</v>
      </c>
      <c r="D119" s="57" t="s">
        <v>722</v>
      </c>
      <c r="F119" s="5" t="s">
        <v>471</v>
      </c>
      <c r="G119" s="57"/>
      <c r="L119" s="315" t="s">
        <v>313</v>
      </c>
      <c r="M119" s="323" t="s">
        <v>723</v>
      </c>
      <c r="N119" s="315" t="s">
        <v>315</v>
      </c>
      <c r="O119" s="315" t="s">
        <v>163</v>
      </c>
      <c r="P119" s="315" t="s">
        <v>316</v>
      </c>
      <c r="Q119" s="315" t="s">
        <v>371</v>
      </c>
      <c r="R119" s="334" t="s">
        <v>163</v>
      </c>
      <c r="S119" s="334" t="s">
        <v>163</v>
      </c>
      <c r="T119" s="315" t="s">
        <v>329</v>
      </c>
      <c r="U119" s="335" t="s">
        <v>724</v>
      </c>
      <c r="V119" s="334">
        <v>1</v>
      </c>
      <c r="W119" s="350">
        <v>0.72916666666666663</v>
      </c>
      <c r="X119" s="334" t="s">
        <v>725</v>
      </c>
      <c r="Y119" s="334" t="s">
        <v>163</v>
      </c>
      <c r="Z119" s="334">
        <v>1</v>
      </c>
      <c r="AA119" s="334" t="s">
        <v>163</v>
      </c>
      <c r="AB119" s="334" t="s">
        <v>224</v>
      </c>
      <c r="AC119" s="334" t="s">
        <v>163</v>
      </c>
      <c r="AD119" s="334" t="s">
        <v>320</v>
      </c>
      <c r="AE119" s="345" t="s">
        <v>726</v>
      </c>
      <c r="AF119" s="315" t="s">
        <v>332</v>
      </c>
      <c r="AG119" s="334" t="s">
        <v>163</v>
      </c>
      <c r="AH119" s="334" t="s">
        <v>163</v>
      </c>
      <c r="AI119" s="334" t="s">
        <v>163</v>
      </c>
      <c r="AJ119" s="334" t="s">
        <v>163</v>
      </c>
      <c r="AK119" s="334" t="s">
        <v>163</v>
      </c>
      <c r="AL119" s="334" t="s">
        <v>163</v>
      </c>
      <c r="AM119" s="334" t="s">
        <v>163</v>
      </c>
      <c r="AN119" s="334" t="s">
        <v>163</v>
      </c>
      <c r="AO119" s="334" t="s">
        <v>163</v>
      </c>
      <c r="AP119" s="334" t="s">
        <v>163</v>
      </c>
      <c r="AQ119" s="334" t="s">
        <v>163</v>
      </c>
      <c r="AR119" s="334" t="s">
        <v>163</v>
      </c>
      <c r="AS119" s="334" t="s">
        <v>163</v>
      </c>
      <c r="AT119" s="334" t="s">
        <v>163</v>
      </c>
    </row>
    <row r="120" spans="1:46" ht="45.75">
      <c r="A120" s="57" t="s">
        <v>114</v>
      </c>
      <c r="B120" s="57" t="s">
        <v>94</v>
      </c>
      <c r="C120" s="59">
        <v>20</v>
      </c>
      <c r="D120" s="57" t="s">
        <v>727</v>
      </c>
      <c r="F120" s="5" t="s">
        <v>476</v>
      </c>
      <c r="G120" s="57"/>
      <c r="L120" s="315" t="s">
        <v>313</v>
      </c>
      <c r="M120" s="323" t="s">
        <v>728</v>
      </c>
      <c r="N120" s="315" t="s">
        <v>315</v>
      </c>
      <c r="O120" s="315" t="s">
        <v>163</v>
      </c>
      <c r="P120" s="315" t="s">
        <v>316</v>
      </c>
      <c r="Q120" s="315" t="s">
        <v>371</v>
      </c>
      <c r="R120" s="334" t="s">
        <v>163</v>
      </c>
      <c r="S120" s="334" t="s">
        <v>163</v>
      </c>
      <c r="T120" s="315" t="s">
        <v>329</v>
      </c>
      <c r="U120" s="335" t="s">
        <v>729</v>
      </c>
      <c r="V120" s="334">
        <v>1</v>
      </c>
      <c r="W120" s="350">
        <v>0.75</v>
      </c>
      <c r="X120" s="334" t="s">
        <v>725</v>
      </c>
      <c r="Y120" s="334" t="s">
        <v>163</v>
      </c>
      <c r="Z120" s="334">
        <v>1</v>
      </c>
      <c r="AA120" s="334" t="s">
        <v>163</v>
      </c>
      <c r="AB120" s="334" t="s">
        <v>224</v>
      </c>
      <c r="AC120" s="334" t="s">
        <v>163</v>
      </c>
      <c r="AD120" s="334" t="s">
        <v>320</v>
      </c>
      <c r="AE120" s="345" t="s">
        <v>730</v>
      </c>
      <c r="AF120" s="315" t="s">
        <v>332</v>
      </c>
      <c r="AG120" s="334" t="s">
        <v>163</v>
      </c>
      <c r="AH120" s="334" t="s">
        <v>163</v>
      </c>
      <c r="AI120" s="334" t="s">
        <v>163</v>
      </c>
      <c r="AJ120" s="334" t="s">
        <v>163</v>
      </c>
      <c r="AK120" s="334" t="s">
        <v>163</v>
      </c>
      <c r="AL120" s="334" t="s">
        <v>163</v>
      </c>
      <c r="AM120" s="334" t="s">
        <v>163</v>
      </c>
      <c r="AN120" s="334" t="s">
        <v>163</v>
      </c>
      <c r="AO120" s="334" t="s">
        <v>163</v>
      </c>
      <c r="AP120" s="334" t="s">
        <v>163</v>
      </c>
      <c r="AQ120" s="334" t="s">
        <v>163</v>
      </c>
      <c r="AR120" s="334" t="s">
        <v>163</v>
      </c>
      <c r="AS120" s="334" t="s">
        <v>163</v>
      </c>
      <c r="AT120" s="334" t="s">
        <v>163</v>
      </c>
    </row>
    <row r="121" spans="1:46" ht="60.75">
      <c r="A121" s="57" t="s">
        <v>115</v>
      </c>
      <c r="B121" s="57" t="s">
        <v>94</v>
      </c>
      <c r="C121" s="59">
        <v>21</v>
      </c>
      <c r="D121" s="57" t="s">
        <v>731</v>
      </c>
      <c r="F121" s="5" t="s">
        <v>334</v>
      </c>
      <c r="G121" s="57"/>
      <c r="L121" s="315" t="s">
        <v>732</v>
      </c>
      <c r="M121" s="323" t="s">
        <v>733</v>
      </c>
      <c r="N121" s="315" t="s">
        <v>219</v>
      </c>
      <c r="O121" s="315" t="s">
        <v>163</v>
      </c>
      <c r="P121" s="315" t="s">
        <v>214</v>
      </c>
      <c r="Q121" s="315" t="s">
        <v>734</v>
      </c>
      <c r="R121" s="334" t="s">
        <v>735</v>
      </c>
      <c r="S121" s="334" t="s">
        <v>215</v>
      </c>
      <c r="T121" s="315" t="s">
        <v>163</v>
      </c>
      <c r="U121" s="335" t="s">
        <v>163</v>
      </c>
      <c r="V121" s="334">
        <v>1</v>
      </c>
      <c r="W121" s="350">
        <v>0.77083333333333337</v>
      </c>
      <c r="X121" s="334" t="s">
        <v>725</v>
      </c>
      <c r="Y121" s="334" t="s">
        <v>163</v>
      </c>
      <c r="Z121" s="334">
        <v>1</v>
      </c>
      <c r="AA121" s="334" t="s">
        <v>163</v>
      </c>
      <c r="AB121" s="334" t="s">
        <v>224</v>
      </c>
      <c r="AC121" s="334" t="s">
        <v>163</v>
      </c>
      <c r="AD121" s="334" t="s">
        <v>320</v>
      </c>
      <c r="AE121" s="345" t="s">
        <v>736</v>
      </c>
      <c r="AF121" s="315" t="s">
        <v>163</v>
      </c>
      <c r="AG121" s="334" t="s">
        <v>163</v>
      </c>
      <c r="AH121" s="334" t="s">
        <v>163</v>
      </c>
      <c r="AI121" s="334" t="s">
        <v>163</v>
      </c>
      <c r="AJ121" s="334" t="s">
        <v>163</v>
      </c>
      <c r="AK121" s="334" t="s">
        <v>163</v>
      </c>
      <c r="AL121" s="334" t="s">
        <v>163</v>
      </c>
      <c r="AM121" s="334" t="s">
        <v>163</v>
      </c>
      <c r="AN121" s="334" t="s">
        <v>163</v>
      </c>
      <c r="AO121" s="334" t="s">
        <v>163</v>
      </c>
      <c r="AP121" s="334" t="s">
        <v>163</v>
      </c>
      <c r="AQ121" s="334" t="s">
        <v>163</v>
      </c>
      <c r="AR121" s="334" t="s">
        <v>163</v>
      </c>
      <c r="AS121" s="334" t="s">
        <v>163</v>
      </c>
      <c r="AT121" s="334" t="s">
        <v>163</v>
      </c>
    </row>
    <row r="122" spans="1:46" ht="45.75">
      <c r="A122" s="57" t="s">
        <v>116</v>
      </c>
      <c r="B122" s="57" t="s">
        <v>94</v>
      </c>
      <c r="C122" s="59">
        <v>22</v>
      </c>
      <c r="D122" s="57" t="s">
        <v>737</v>
      </c>
      <c r="F122" s="5" t="s">
        <v>485</v>
      </c>
      <c r="G122" s="42" t="s">
        <v>486</v>
      </c>
      <c r="I122" s="165" t="s">
        <v>488</v>
      </c>
      <c r="L122" s="315" t="s">
        <v>313</v>
      </c>
      <c r="M122" s="323" t="s">
        <v>738</v>
      </c>
      <c r="N122" s="315" t="s">
        <v>315</v>
      </c>
      <c r="O122" s="315" t="s">
        <v>163</v>
      </c>
      <c r="P122" s="315" t="s">
        <v>316</v>
      </c>
      <c r="Q122" s="315" t="s">
        <v>371</v>
      </c>
      <c r="R122" s="334" t="s">
        <v>163</v>
      </c>
      <c r="S122" s="334" t="s">
        <v>163</v>
      </c>
      <c r="T122" s="315" t="s">
        <v>329</v>
      </c>
      <c r="U122" s="335" t="s">
        <v>739</v>
      </c>
      <c r="V122" s="334">
        <v>1</v>
      </c>
      <c r="W122" s="350">
        <v>0.83333333333333337</v>
      </c>
      <c r="X122" s="334" t="s">
        <v>725</v>
      </c>
      <c r="Y122" s="334" t="s">
        <v>163</v>
      </c>
      <c r="Z122" s="334">
        <v>1</v>
      </c>
      <c r="AA122" s="334" t="s">
        <v>163</v>
      </c>
      <c r="AB122" s="334" t="s">
        <v>224</v>
      </c>
      <c r="AC122" s="334" t="s">
        <v>163</v>
      </c>
      <c r="AD122" s="334" t="s">
        <v>225</v>
      </c>
      <c r="AE122" s="345" t="s">
        <v>740</v>
      </c>
      <c r="AF122" s="315" t="s">
        <v>332</v>
      </c>
      <c r="AG122" s="334" t="s">
        <v>163</v>
      </c>
      <c r="AH122" s="334" t="s">
        <v>163</v>
      </c>
      <c r="AI122" s="334" t="s">
        <v>163</v>
      </c>
      <c r="AJ122" s="334" t="s">
        <v>163</v>
      </c>
      <c r="AK122" s="334" t="s">
        <v>163</v>
      </c>
      <c r="AL122" s="334" t="s">
        <v>163</v>
      </c>
      <c r="AM122" s="334" t="s">
        <v>163</v>
      </c>
      <c r="AN122" s="334" t="s">
        <v>163</v>
      </c>
      <c r="AO122" s="334" t="s">
        <v>163</v>
      </c>
      <c r="AP122" s="334" t="s">
        <v>163</v>
      </c>
      <c r="AQ122" s="334" t="s">
        <v>163</v>
      </c>
      <c r="AR122" s="334" t="s">
        <v>163</v>
      </c>
      <c r="AS122" s="334" t="s">
        <v>163</v>
      </c>
      <c r="AT122" s="334" t="s">
        <v>163</v>
      </c>
    </row>
    <row r="123" spans="1:46" ht="45.75">
      <c r="A123" s="57" t="s">
        <v>117</v>
      </c>
      <c r="B123" s="57" t="s">
        <v>94</v>
      </c>
      <c r="C123" s="59">
        <v>23</v>
      </c>
      <c r="D123" s="57" t="s">
        <v>741</v>
      </c>
      <c r="F123" s="5" t="s">
        <v>496</v>
      </c>
      <c r="G123" s="43" t="s">
        <v>497</v>
      </c>
      <c r="H123" s="5" t="s">
        <v>498</v>
      </c>
      <c r="I123" s="167" t="s">
        <v>499</v>
      </c>
      <c r="L123" s="291" t="s">
        <v>163</v>
      </c>
      <c r="M123" s="282" t="s">
        <v>742</v>
      </c>
      <c r="N123" s="291" t="s">
        <v>219</v>
      </c>
      <c r="O123" s="291" t="s">
        <v>163</v>
      </c>
      <c r="P123" s="291" t="s">
        <v>214</v>
      </c>
      <c r="Q123" s="291" t="s">
        <v>221</v>
      </c>
      <c r="R123" s="279" t="s">
        <v>743</v>
      </c>
      <c r="S123" s="279" t="s">
        <v>215</v>
      </c>
      <c r="T123" s="291" t="s">
        <v>163</v>
      </c>
      <c r="U123" s="279" t="s">
        <v>163</v>
      </c>
      <c r="V123" s="279">
        <v>0</v>
      </c>
      <c r="W123" s="291" t="s">
        <v>163</v>
      </c>
      <c r="X123" s="279" t="s">
        <v>163</v>
      </c>
      <c r="Y123" s="279" t="s">
        <v>163</v>
      </c>
      <c r="Z123" s="279">
        <v>1</v>
      </c>
      <c r="AA123" s="279" t="s">
        <v>223</v>
      </c>
      <c r="AB123" s="279" t="s">
        <v>224</v>
      </c>
      <c r="AC123" s="279">
        <v>3</v>
      </c>
      <c r="AD123" s="279" t="s">
        <v>225</v>
      </c>
      <c r="AE123" s="280" t="s">
        <v>744</v>
      </c>
      <c r="AF123" s="291" t="s">
        <v>163</v>
      </c>
      <c r="AG123" s="279" t="s">
        <v>163</v>
      </c>
      <c r="AH123" s="279" t="s">
        <v>227</v>
      </c>
      <c r="AI123" s="279" t="s">
        <v>228</v>
      </c>
      <c r="AJ123" s="279" t="s">
        <v>163</v>
      </c>
      <c r="AK123" s="279" t="s">
        <v>163</v>
      </c>
      <c r="AL123" s="279" t="s">
        <v>163</v>
      </c>
      <c r="AM123" s="279" t="s">
        <v>163</v>
      </c>
      <c r="AN123" s="279" t="s">
        <v>163</v>
      </c>
      <c r="AO123" s="279" t="s">
        <v>163</v>
      </c>
      <c r="AP123" s="279" t="s">
        <v>163</v>
      </c>
      <c r="AQ123" s="279" t="s">
        <v>163</v>
      </c>
      <c r="AR123" s="279" t="s">
        <v>163</v>
      </c>
      <c r="AS123" s="279" t="s">
        <v>163</v>
      </c>
      <c r="AT123" s="279" t="s">
        <v>163</v>
      </c>
    </row>
    <row r="124" spans="1:46" ht="60.75">
      <c r="A124" s="57" t="s">
        <v>118</v>
      </c>
      <c r="B124" s="57" t="s">
        <v>94</v>
      </c>
      <c r="C124" s="59">
        <v>24</v>
      </c>
      <c r="D124" s="57" t="s">
        <v>745</v>
      </c>
      <c r="F124" s="5" t="s">
        <v>505</v>
      </c>
      <c r="G124" s="43" t="s">
        <v>506</v>
      </c>
      <c r="I124" s="167" t="s">
        <v>507</v>
      </c>
      <c r="L124" s="291" t="s">
        <v>163</v>
      </c>
      <c r="M124" s="282" t="s">
        <v>746</v>
      </c>
      <c r="N124" s="291" t="s">
        <v>219</v>
      </c>
      <c r="O124" s="291" t="s">
        <v>163</v>
      </c>
      <c r="P124" s="291" t="s">
        <v>214</v>
      </c>
      <c r="Q124" s="291" t="s">
        <v>747</v>
      </c>
      <c r="R124" s="279" t="s">
        <v>743</v>
      </c>
      <c r="S124" s="279" t="s">
        <v>215</v>
      </c>
      <c r="T124" s="291" t="s">
        <v>163</v>
      </c>
      <c r="U124" s="279" t="s">
        <v>163</v>
      </c>
      <c r="V124" s="279">
        <v>0</v>
      </c>
      <c r="W124" s="291" t="s">
        <v>163</v>
      </c>
      <c r="X124" s="279" t="s">
        <v>163</v>
      </c>
      <c r="Y124" s="279" t="s">
        <v>163</v>
      </c>
      <c r="Z124" s="279">
        <v>1</v>
      </c>
      <c r="AA124" s="279" t="s">
        <v>223</v>
      </c>
      <c r="AB124" s="279" t="s">
        <v>224</v>
      </c>
      <c r="AC124" s="279">
        <v>3</v>
      </c>
      <c r="AD124" s="279" t="s">
        <v>225</v>
      </c>
      <c r="AE124" s="280" t="s">
        <v>748</v>
      </c>
      <c r="AF124" s="291" t="s">
        <v>163</v>
      </c>
      <c r="AG124" s="279" t="s">
        <v>163</v>
      </c>
      <c r="AH124" s="279" t="s">
        <v>749</v>
      </c>
      <c r="AI124" s="279" t="s">
        <v>750</v>
      </c>
      <c r="AJ124" s="279" t="s">
        <v>163</v>
      </c>
      <c r="AK124" s="279" t="s">
        <v>163</v>
      </c>
      <c r="AL124" s="279" t="s">
        <v>163</v>
      </c>
      <c r="AM124" s="279" t="s">
        <v>163</v>
      </c>
      <c r="AN124" s="279" t="s">
        <v>163</v>
      </c>
      <c r="AO124" s="279" t="s">
        <v>163</v>
      </c>
      <c r="AP124" s="279" t="s">
        <v>163</v>
      </c>
      <c r="AQ124" s="279" t="s">
        <v>163</v>
      </c>
      <c r="AR124" s="279" t="s">
        <v>163</v>
      </c>
      <c r="AS124" s="279" t="s">
        <v>163</v>
      </c>
      <c r="AT124" s="279" t="s">
        <v>163</v>
      </c>
    </row>
    <row r="125" spans="1:46" ht="60.75">
      <c r="A125" s="57" t="s">
        <v>119</v>
      </c>
      <c r="B125" s="57" t="s">
        <v>94</v>
      </c>
      <c r="C125" s="59">
        <v>25</v>
      </c>
      <c r="D125" s="57" t="s">
        <v>751</v>
      </c>
      <c r="F125" s="5" t="s">
        <v>512</v>
      </c>
      <c r="G125" s="64"/>
      <c r="L125" s="320" t="s">
        <v>313</v>
      </c>
      <c r="M125" s="328" t="s">
        <v>752</v>
      </c>
      <c r="N125" s="320" t="s">
        <v>315</v>
      </c>
      <c r="O125" s="320" t="s">
        <v>163</v>
      </c>
      <c r="P125" s="320" t="s">
        <v>316</v>
      </c>
      <c r="Q125" s="320" t="s">
        <v>371</v>
      </c>
      <c r="R125" s="339" t="s">
        <v>163</v>
      </c>
      <c r="S125" s="339" t="s">
        <v>163</v>
      </c>
      <c r="T125" s="320" t="s">
        <v>329</v>
      </c>
      <c r="U125" s="335" t="s">
        <v>753</v>
      </c>
      <c r="V125" s="339">
        <v>1</v>
      </c>
      <c r="W125" s="352">
        <v>0.70833333333333337</v>
      </c>
      <c r="X125" s="339" t="s">
        <v>754</v>
      </c>
      <c r="Y125" s="339" t="s">
        <v>163</v>
      </c>
      <c r="Z125" s="339">
        <v>1</v>
      </c>
      <c r="AA125" s="339" t="s">
        <v>163</v>
      </c>
      <c r="AB125" s="339" t="s">
        <v>224</v>
      </c>
      <c r="AC125" s="339" t="s">
        <v>163</v>
      </c>
      <c r="AD125" s="339" t="s">
        <v>320</v>
      </c>
      <c r="AE125" s="343" t="s">
        <v>755</v>
      </c>
      <c r="AF125" s="320" t="s">
        <v>332</v>
      </c>
      <c r="AG125" s="339" t="s">
        <v>163</v>
      </c>
      <c r="AH125" s="339" t="s">
        <v>163</v>
      </c>
      <c r="AI125" s="339" t="s">
        <v>163</v>
      </c>
      <c r="AJ125" s="339" t="s">
        <v>163</v>
      </c>
      <c r="AK125" s="339" t="s">
        <v>163</v>
      </c>
      <c r="AL125" s="339" t="s">
        <v>163</v>
      </c>
      <c r="AM125" s="339" t="s">
        <v>163</v>
      </c>
      <c r="AN125" s="339" t="s">
        <v>163</v>
      </c>
      <c r="AO125" s="339" t="s">
        <v>163</v>
      </c>
      <c r="AP125" s="339" t="s">
        <v>163</v>
      </c>
      <c r="AQ125" s="339" t="s">
        <v>163</v>
      </c>
      <c r="AR125" s="339" t="s">
        <v>163</v>
      </c>
      <c r="AS125" s="339" t="s">
        <v>163</v>
      </c>
      <c r="AT125" s="339" t="s">
        <v>163</v>
      </c>
    </row>
    <row r="126" spans="1:46" ht="91.5">
      <c r="A126" s="57" t="s">
        <v>120</v>
      </c>
      <c r="B126" s="57" t="s">
        <v>94</v>
      </c>
      <c r="C126" s="59">
        <v>26</v>
      </c>
      <c r="D126" s="57" t="s">
        <v>756</v>
      </c>
      <c r="F126" s="5" t="s">
        <v>502</v>
      </c>
      <c r="G126" s="57"/>
      <c r="L126" s="320" t="s">
        <v>313</v>
      </c>
      <c r="M126" s="328" t="s">
        <v>757</v>
      </c>
      <c r="N126" s="320" t="s">
        <v>315</v>
      </c>
      <c r="O126" s="320" t="s">
        <v>163</v>
      </c>
      <c r="P126" s="320" t="s">
        <v>316</v>
      </c>
      <c r="Q126" s="320" t="s">
        <v>371</v>
      </c>
      <c r="R126" s="339" t="s">
        <v>163</v>
      </c>
      <c r="S126" s="339" t="s">
        <v>163</v>
      </c>
      <c r="T126" s="320" t="s">
        <v>329</v>
      </c>
      <c r="U126" s="342" t="s">
        <v>758</v>
      </c>
      <c r="V126" s="339">
        <v>1</v>
      </c>
      <c r="W126" s="352">
        <v>0.70833333333333337</v>
      </c>
      <c r="X126" s="339" t="s">
        <v>759</v>
      </c>
      <c r="Y126" s="339" t="s">
        <v>163</v>
      </c>
      <c r="Z126" s="339">
        <v>1</v>
      </c>
      <c r="AA126" s="339" t="s">
        <v>163</v>
      </c>
      <c r="AB126" s="339" t="s">
        <v>224</v>
      </c>
      <c r="AC126" s="339" t="s">
        <v>163</v>
      </c>
      <c r="AD126" s="339" t="s">
        <v>320</v>
      </c>
      <c r="AE126" s="343" t="s">
        <v>760</v>
      </c>
      <c r="AF126" s="320" t="s">
        <v>332</v>
      </c>
      <c r="AG126" s="339" t="s">
        <v>163</v>
      </c>
      <c r="AH126" s="339" t="s">
        <v>163</v>
      </c>
      <c r="AI126" s="339" t="s">
        <v>163</v>
      </c>
      <c r="AJ126" s="339" t="s">
        <v>163</v>
      </c>
      <c r="AK126" s="339" t="s">
        <v>163</v>
      </c>
      <c r="AL126" s="339" t="s">
        <v>163</v>
      </c>
      <c r="AM126" s="339" t="s">
        <v>163</v>
      </c>
      <c r="AN126" s="339" t="s">
        <v>163</v>
      </c>
      <c r="AO126" s="339" t="s">
        <v>163</v>
      </c>
      <c r="AP126" s="339" t="s">
        <v>163</v>
      </c>
      <c r="AQ126" s="339" t="s">
        <v>163</v>
      </c>
      <c r="AR126" s="339" t="s">
        <v>163</v>
      </c>
      <c r="AS126" s="339" t="s">
        <v>163</v>
      </c>
      <c r="AT126" s="339" t="s">
        <v>163</v>
      </c>
    </row>
    <row r="127" spans="1:46" ht="76.5">
      <c r="A127" s="58" t="s">
        <v>121</v>
      </c>
      <c r="B127" s="57" t="s">
        <v>94</v>
      </c>
      <c r="C127" s="59">
        <v>27</v>
      </c>
      <c r="D127" s="57" t="s">
        <v>761</v>
      </c>
      <c r="F127" s="5" t="s">
        <v>522</v>
      </c>
      <c r="G127" s="44" t="s">
        <v>523</v>
      </c>
      <c r="L127" s="320" t="s">
        <v>313</v>
      </c>
      <c r="M127" s="328" t="s">
        <v>762</v>
      </c>
      <c r="N127" s="320" t="s">
        <v>315</v>
      </c>
      <c r="O127" s="320" t="s">
        <v>163</v>
      </c>
      <c r="P127" s="320" t="s">
        <v>316</v>
      </c>
      <c r="Q127" s="320" t="s">
        <v>371</v>
      </c>
      <c r="R127" s="339" t="s">
        <v>163</v>
      </c>
      <c r="S127" s="339" t="s">
        <v>163</v>
      </c>
      <c r="T127" s="320" t="s">
        <v>329</v>
      </c>
      <c r="U127" s="335" t="s">
        <v>763</v>
      </c>
      <c r="V127" s="339">
        <v>1</v>
      </c>
      <c r="W127" s="352">
        <v>0.70833333333333337</v>
      </c>
      <c r="X127" s="339" t="s">
        <v>764</v>
      </c>
      <c r="Y127" s="339" t="s">
        <v>163</v>
      </c>
      <c r="Z127" s="339">
        <v>1</v>
      </c>
      <c r="AA127" s="339" t="s">
        <v>163</v>
      </c>
      <c r="AB127" s="339" t="s">
        <v>224</v>
      </c>
      <c r="AC127" s="339" t="s">
        <v>163</v>
      </c>
      <c r="AD127" s="339" t="s">
        <v>320</v>
      </c>
      <c r="AE127" s="343" t="s">
        <v>765</v>
      </c>
      <c r="AF127" s="320" t="s">
        <v>332</v>
      </c>
      <c r="AG127" s="339" t="s">
        <v>163</v>
      </c>
      <c r="AH127" s="339" t="s">
        <v>163</v>
      </c>
      <c r="AI127" s="339" t="s">
        <v>163</v>
      </c>
      <c r="AJ127" s="339" t="s">
        <v>163</v>
      </c>
      <c r="AK127" s="339" t="s">
        <v>163</v>
      </c>
      <c r="AL127" s="339" t="s">
        <v>163</v>
      </c>
      <c r="AM127" s="339" t="s">
        <v>163</v>
      </c>
      <c r="AN127" s="339" t="s">
        <v>163</v>
      </c>
      <c r="AO127" s="339" t="s">
        <v>163</v>
      </c>
      <c r="AP127" s="339" t="s">
        <v>163</v>
      </c>
      <c r="AQ127" s="339" t="s">
        <v>163</v>
      </c>
      <c r="AR127" s="339" t="s">
        <v>163</v>
      </c>
      <c r="AS127" s="339" t="s">
        <v>163</v>
      </c>
      <c r="AT127" s="339" t="s">
        <v>163</v>
      </c>
    </row>
    <row r="128" spans="1:46" ht="152.25">
      <c r="A128" s="58" t="s">
        <v>122</v>
      </c>
      <c r="B128" s="57" t="s">
        <v>94</v>
      </c>
      <c r="C128" s="59">
        <v>28</v>
      </c>
      <c r="D128" s="57" t="s">
        <v>766</v>
      </c>
      <c r="F128" s="2" t="s">
        <v>534</v>
      </c>
      <c r="G128" s="45" t="s">
        <v>535</v>
      </c>
      <c r="L128" s="320" t="s">
        <v>313</v>
      </c>
      <c r="M128" s="328" t="s">
        <v>767</v>
      </c>
      <c r="N128" s="320" t="s">
        <v>315</v>
      </c>
      <c r="O128" s="320" t="s">
        <v>163</v>
      </c>
      <c r="P128" s="320" t="s">
        <v>316</v>
      </c>
      <c r="Q128" s="320" t="s">
        <v>371</v>
      </c>
      <c r="R128" s="339" t="s">
        <v>163</v>
      </c>
      <c r="S128" s="339" t="s">
        <v>163</v>
      </c>
      <c r="T128" s="320" t="s">
        <v>329</v>
      </c>
      <c r="U128" s="335" t="s">
        <v>768</v>
      </c>
      <c r="V128" s="339">
        <v>1</v>
      </c>
      <c r="W128" s="352">
        <v>0.70833333333333337</v>
      </c>
      <c r="X128" s="339" t="s">
        <v>769</v>
      </c>
      <c r="Y128" s="339" t="s">
        <v>163</v>
      </c>
      <c r="Z128" s="339">
        <v>1</v>
      </c>
      <c r="AA128" s="339" t="s">
        <v>163</v>
      </c>
      <c r="AB128" s="339" t="s">
        <v>224</v>
      </c>
      <c r="AC128" s="339" t="s">
        <v>163</v>
      </c>
      <c r="AD128" s="339" t="s">
        <v>320</v>
      </c>
      <c r="AE128" s="343" t="s">
        <v>770</v>
      </c>
      <c r="AF128" s="320" t="s">
        <v>332</v>
      </c>
      <c r="AG128" s="339" t="s">
        <v>163</v>
      </c>
      <c r="AH128" s="339" t="s">
        <v>163</v>
      </c>
      <c r="AI128" s="339" t="s">
        <v>163</v>
      </c>
      <c r="AJ128" s="339" t="s">
        <v>163</v>
      </c>
      <c r="AK128" s="339" t="s">
        <v>163</v>
      </c>
      <c r="AL128" s="339" t="s">
        <v>163</v>
      </c>
      <c r="AM128" s="339" t="s">
        <v>163</v>
      </c>
      <c r="AN128" s="339" t="s">
        <v>163</v>
      </c>
      <c r="AO128" s="339" t="s">
        <v>163</v>
      </c>
      <c r="AP128" s="339" t="s">
        <v>163</v>
      </c>
      <c r="AQ128" s="339" t="s">
        <v>163</v>
      </c>
      <c r="AR128" s="339" t="s">
        <v>163</v>
      </c>
      <c r="AS128" s="339" t="s">
        <v>163</v>
      </c>
      <c r="AT128" s="339" t="s">
        <v>163</v>
      </c>
    </row>
    <row r="129" spans="1:46" ht="152.25">
      <c r="A129" s="58" t="s">
        <v>123</v>
      </c>
      <c r="B129" s="58"/>
      <c r="C129" s="59">
        <v>1</v>
      </c>
      <c r="D129" s="79" t="s">
        <v>771</v>
      </c>
      <c r="E129" s="85">
        <v>0.72916666666666663</v>
      </c>
      <c r="F129" s="5" t="s">
        <v>772</v>
      </c>
      <c r="G129" s="51" t="s">
        <v>486</v>
      </c>
      <c r="L129" s="320" t="s">
        <v>313</v>
      </c>
      <c r="M129" s="328" t="s">
        <v>773</v>
      </c>
      <c r="N129" s="320" t="s">
        <v>315</v>
      </c>
      <c r="O129" s="320" t="s">
        <v>163</v>
      </c>
      <c r="P129" s="320" t="s">
        <v>316</v>
      </c>
      <c r="Q129" s="320" t="s">
        <v>371</v>
      </c>
      <c r="R129" s="339" t="s">
        <v>163</v>
      </c>
      <c r="S129" s="339" t="s">
        <v>163</v>
      </c>
      <c r="T129" s="320" t="s">
        <v>329</v>
      </c>
      <c r="U129" s="343" t="s">
        <v>774</v>
      </c>
      <c r="V129" s="339">
        <v>1</v>
      </c>
      <c r="W129" s="352">
        <v>0.70833333333333337</v>
      </c>
      <c r="X129" s="339" t="s">
        <v>769</v>
      </c>
      <c r="Y129" s="339" t="s">
        <v>163</v>
      </c>
      <c r="Z129" s="339">
        <v>1</v>
      </c>
      <c r="AA129" s="339" t="s">
        <v>163</v>
      </c>
      <c r="AB129" s="339" t="s">
        <v>224</v>
      </c>
      <c r="AC129" s="339" t="s">
        <v>163</v>
      </c>
      <c r="AD129" s="339" t="s">
        <v>320</v>
      </c>
      <c r="AE129" s="343" t="s">
        <v>775</v>
      </c>
      <c r="AF129" s="320" t="s">
        <v>332</v>
      </c>
      <c r="AG129" s="339" t="s">
        <v>163</v>
      </c>
      <c r="AH129" s="339" t="s">
        <v>163</v>
      </c>
      <c r="AI129" s="339" t="s">
        <v>163</v>
      </c>
      <c r="AJ129" s="339" t="s">
        <v>163</v>
      </c>
      <c r="AK129" s="339" t="s">
        <v>163</v>
      </c>
      <c r="AL129" s="339" t="s">
        <v>163</v>
      </c>
      <c r="AM129" s="339" t="s">
        <v>163</v>
      </c>
      <c r="AN129" s="339" t="s">
        <v>163</v>
      </c>
      <c r="AO129" s="339" t="s">
        <v>163</v>
      </c>
      <c r="AP129" s="339" t="s">
        <v>163</v>
      </c>
      <c r="AQ129" s="339" t="s">
        <v>163</v>
      </c>
      <c r="AR129" s="339" t="s">
        <v>163</v>
      </c>
      <c r="AS129" s="339" t="s">
        <v>163</v>
      </c>
      <c r="AT129" s="339" t="s">
        <v>163</v>
      </c>
    </row>
    <row r="130" spans="1:46" ht="45.75">
      <c r="A130" s="58" t="s">
        <v>124</v>
      </c>
      <c r="B130" s="58"/>
      <c r="C130" s="65">
        <v>1</v>
      </c>
      <c r="D130" s="5" t="s">
        <v>776</v>
      </c>
      <c r="E130" s="80">
        <v>0.75</v>
      </c>
      <c r="F130" s="5" t="s">
        <v>777</v>
      </c>
      <c r="G130" s="51" t="s">
        <v>778</v>
      </c>
      <c r="L130" s="291" t="s">
        <v>779</v>
      </c>
      <c r="M130" s="282" t="s">
        <v>780</v>
      </c>
      <c r="N130" s="291" t="s">
        <v>219</v>
      </c>
      <c r="O130" s="291" t="s">
        <v>163</v>
      </c>
      <c r="P130" s="291" t="s">
        <v>214</v>
      </c>
      <c r="Q130" s="291" t="s">
        <v>221</v>
      </c>
      <c r="R130" s="279" t="s">
        <v>781</v>
      </c>
      <c r="S130" s="279" t="s">
        <v>215</v>
      </c>
      <c r="T130" s="291" t="s">
        <v>163</v>
      </c>
      <c r="U130" s="279" t="s">
        <v>163</v>
      </c>
      <c r="V130" s="279">
        <v>1</v>
      </c>
      <c r="W130" s="291" t="s">
        <v>782</v>
      </c>
      <c r="X130" s="279" t="s">
        <v>163</v>
      </c>
      <c r="Y130" s="279" t="s">
        <v>783</v>
      </c>
      <c r="Z130" s="279">
        <v>1</v>
      </c>
      <c r="AA130" s="279" t="s">
        <v>223</v>
      </c>
      <c r="AB130" s="279" t="s">
        <v>224</v>
      </c>
      <c r="AC130" s="279">
        <v>3</v>
      </c>
      <c r="AD130" s="279" t="s">
        <v>225</v>
      </c>
      <c r="AE130" s="280" t="s">
        <v>784</v>
      </c>
      <c r="AF130" s="291" t="s">
        <v>163</v>
      </c>
      <c r="AG130" s="279" t="s">
        <v>785</v>
      </c>
      <c r="AH130" s="279" t="s">
        <v>227</v>
      </c>
      <c r="AI130" s="279" t="s">
        <v>228</v>
      </c>
      <c r="AJ130" s="279" t="s">
        <v>163</v>
      </c>
      <c r="AK130" s="279" t="s">
        <v>163</v>
      </c>
      <c r="AL130" s="279" t="s">
        <v>163</v>
      </c>
      <c r="AM130" s="279" t="s">
        <v>163</v>
      </c>
      <c r="AN130" s="279" t="s">
        <v>163</v>
      </c>
      <c r="AO130" s="279" t="s">
        <v>163</v>
      </c>
      <c r="AP130" s="279" t="s">
        <v>163</v>
      </c>
      <c r="AQ130" s="279" t="s">
        <v>163</v>
      </c>
      <c r="AR130" s="279">
        <v>60</v>
      </c>
      <c r="AS130" s="279">
        <v>1</v>
      </c>
      <c r="AT130" s="279">
        <v>60</v>
      </c>
    </row>
    <row r="131" spans="1:46" ht="30.75">
      <c r="A131" s="58" t="s">
        <v>125</v>
      </c>
      <c r="B131" s="58"/>
      <c r="C131" s="65">
        <v>1</v>
      </c>
      <c r="D131" s="5" t="s">
        <v>776</v>
      </c>
      <c r="E131" s="80">
        <v>0.77083333333333337</v>
      </c>
      <c r="F131" s="5" t="s">
        <v>786</v>
      </c>
      <c r="L131" s="291" t="s">
        <v>163</v>
      </c>
      <c r="M131" s="282" t="s">
        <v>787</v>
      </c>
      <c r="N131" s="291" t="s">
        <v>219</v>
      </c>
      <c r="O131" s="291" t="s">
        <v>163</v>
      </c>
      <c r="P131" s="291" t="s">
        <v>214</v>
      </c>
      <c r="Q131" s="291" t="s">
        <v>221</v>
      </c>
      <c r="R131" s="279" t="s">
        <v>781</v>
      </c>
      <c r="S131" s="279" t="s">
        <v>215</v>
      </c>
      <c r="T131" s="291" t="s">
        <v>163</v>
      </c>
      <c r="U131" s="279" t="s">
        <v>163</v>
      </c>
      <c r="V131" s="279">
        <v>1</v>
      </c>
      <c r="W131" s="291" t="s">
        <v>788</v>
      </c>
      <c r="X131" s="279" t="s">
        <v>163</v>
      </c>
      <c r="Y131" s="279" t="s">
        <v>163</v>
      </c>
      <c r="Z131" s="279">
        <v>1</v>
      </c>
      <c r="AA131" s="279" t="s">
        <v>223</v>
      </c>
      <c r="AB131" s="279" t="s">
        <v>224</v>
      </c>
      <c r="AC131" s="279">
        <v>3</v>
      </c>
      <c r="AD131" s="279" t="s">
        <v>225</v>
      </c>
      <c r="AE131" s="280" t="s">
        <v>789</v>
      </c>
      <c r="AF131" s="291" t="s">
        <v>163</v>
      </c>
      <c r="AG131" s="279" t="s">
        <v>790</v>
      </c>
      <c r="AH131" s="279" t="s">
        <v>227</v>
      </c>
      <c r="AI131" s="279" t="s">
        <v>228</v>
      </c>
      <c r="AJ131" s="279" t="s">
        <v>163</v>
      </c>
      <c r="AK131" s="279" t="s">
        <v>163</v>
      </c>
      <c r="AL131" s="279" t="s">
        <v>163</v>
      </c>
      <c r="AM131" s="279" t="s">
        <v>163</v>
      </c>
      <c r="AN131" s="279" t="s">
        <v>163</v>
      </c>
      <c r="AO131" s="279" t="s">
        <v>163</v>
      </c>
      <c r="AP131" s="279" t="s">
        <v>163</v>
      </c>
      <c r="AQ131" s="279" t="s">
        <v>163</v>
      </c>
      <c r="AR131" s="279">
        <v>60</v>
      </c>
      <c r="AS131" s="279">
        <v>1</v>
      </c>
      <c r="AT131" s="279">
        <v>60</v>
      </c>
    </row>
    <row r="132" spans="1:46" ht="45.75">
      <c r="A132" s="58" t="s">
        <v>126</v>
      </c>
      <c r="B132" s="58"/>
      <c r="C132" s="65">
        <v>1</v>
      </c>
      <c r="D132" s="5" t="s">
        <v>791</v>
      </c>
      <c r="E132" s="80">
        <v>0.83333333333333337</v>
      </c>
      <c r="F132" s="5" t="s">
        <v>792</v>
      </c>
      <c r="G132" s="51" t="s">
        <v>486</v>
      </c>
      <c r="L132" s="282" t="s">
        <v>163</v>
      </c>
      <c r="M132" s="282" t="s">
        <v>793</v>
      </c>
      <c r="N132" s="291" t="s">
        <v>219</v>
      </c>
      <c r="O132" s="291" t="s">
        <v>163</v>
      </c>
      <c r="P132" s="291" t="s">
        <v>214</v>
      </c>
      <c r="Q132" s="291" t="s">
        <v>221</v>
      </c>
      <c r="R132" s="279" t="s">
        <v>781</v>
      </c>
      <c r="S132" s="279" t="s">
        <v>215</v>
      </c>
      <c r="T132" s="291" t="s">
        <v>163</v>
      </c>
      <c r="U132" s="279" t="s">
        <v>163</v>
      </c>
      <c r="V132" s="279">
        <v>1</v>
      </c>
      <c r="W132" s="291" t="s">
        <v>794</v>
      </c>
      <c r="X132" s="279" t="s">
        <v>163</v>
      </c>
      <c r="Y132" s="279" t="s">
        <v>163</v>
      </c>
      <c r="Z132" s="279">
        <v>1</v>
      </c>
      <c r="AA132" s="279" t="s">
        <v>223</v>
      </c>
      <c r="AB132" s="279" t="s">
        <v>224</v>
      </c>
      <c r="AC132" s="279">
        <v>3</v>
      </c>
      <c r="AD132" s="279" t="s">
        <v>225</v>
      </c>
      <c r="AE132" s="280" t="s">
        <v>795</v>
      </c>
      <c r="AF132" s="291" t="s">
        <v>163</v>
      </c>
      <c r="AG132" s="279" t="s">
        <v>785</v>
      </c>
      <c r="AH132" s="279" t="s">
        <v>227</v>
      </c>
      <c r="AI132" s="279" t="s">
        <v>228</v>
      </c>
      <c r="AJ132" s="279" t="s">
        <v>163</v>
      </c>
      <c r="AK132" s="279" t="s">
        <v>163</v>
      </c>
      <c r="AL132" s="279" t="s">
        <v>163</v>
      </c>
      <c r="AM132" s="279" t="s">
        <v>163</v>
      </c>
      <c r="AN132" s="279" t="s">
        <v>163</v>
      </c>
      <c r="AO132" s="279" t="s">
        <v>163</v>
      </c>
      <c r="AP132" s="279" t="s">
        <v>163</v>
      </c>
      <c r="AQ132" s="279" t="s">
        <v>163</v>
      </c>
      <c r="AR132" s="279">
        <v>60</v>
      </c>
      <c r="AS132" s="279">
        <v>1</v>
      </c>
      <c r="AT132" s="279">
        <v>60</v>
      </c>
    </row>
    <row r="133" spans="1:46" ht="30.75">
      <c r="A133" s="58"/>
      <c r="B133" s="58"/>
      <c r="C133" s="65"/>
      <c r="L133" s="291" t="s">
        <v>796</v>
      </c>
      <c r="M133" s="282" t="s">
        <v>797</v>
      </c>
      <c r="N133" s="291" t="s">
        <v>219</v>
      </c>
      <c r="O133" s="291" t="s">
        <v>163</v>
      </c>
      <c r="P133" s="291" t="s">
        <v>214</v>
      </c>
      <c r="Q133" s="291" t="s">
        <v>221</v>
      </c>
      <c r="R133" s="279" t="s">
        <v>798</v>
      </c>
      <c r="S133" s="279" t="s">
        <v>215</v>
      </c>
      <c r="T133" s="291" t="s">
        <v>163</v>
      </c>
      <c r="U133" s="335" t="s">
        <v>163</v>
      </c>
      <c r="V133" s="279">
        <v>1</v>
      </c>
      <c r="W133" s="344">
        <v>0.75</v>
      </c>
      <c r="X133" s="279" t="s">
        <v>163</v>
      </c>
      <c r="Y133" s="279" t="s">
        <v>163</v>
      </c>
      <c r="Z133" s="279">
        <v>1</v>
      </c>
      <c r="AA133" s="279" t="s">
        <v>223</v>
      </c>
      <c r="AB133" s="279" t="s">
        <v>224</v>
      </c>
      <c r="AC133" s="279">
        <v>3</v>
      </c>
      <c r="AD133" s="279" t="s">
        <v>225</v>
      </c>
      <c r="AE133" s="280" t="s">
        <v>799</v>
      </c>
      <c r="AF133" s="291" t="s">
        <v>163</v>
      </c>
      <c r="AG133" s="279" t="s">
        <v>163</v>
      </c>
      <c r="AH133" s="279" t="s">
        <v>227</v>
      </c>
      <c r="AI133" s="279" t="s">
        <v>228</v>
      </c>
      <c r="AJ133" s="279" t="s">
        <v>163</v>
      </c>
      <c r="AK133" s="279" t="s">
        <v>163</v>
      </c>
      <c r="AL133" s="279" t="s">
        <v>163</v>
      </c>
      <c r="AM133" s="279" t="s">
        <v>163</v>
      </c>
      <c r="AN133" s="279" t="s">
        <v>163</v>
      </c>
      <c r="AO133" s="279" t="s">
        <v>163</v>
      </c>
      <c r="AP133" s="279" t="s">
        <v>163</v>
      </c>
      <c r="AQ133" s="279" t="s">
        <v>163</v>
      </c>
      <c r="AR133" s="279" t="s">
        <v>163</v>
      </c>
      <c r="AS133" s="279" t="s">
        <v>163</v>
      </c>
      <c r="AT133" s="279" t="s">
        <v>163</v>
      </c>
    </row>
    <row r="134" spans="1:46" ht="30.75">
      <c r="A134" s="57" t="s">
        <v>127</v>
      </c>
      <c r="B134" s="57"/>
      <c r="C134" s="59">
        <v>1</v>
      </c>
      <c r="D134" s="5" t="s">
        <v>641</v>
      </c>
      <c r="F134" s="5" t="s">
        <v>800</v>
      </c>
      <c r="L134" s="291" t="s">
        <v>163</v>
      </c>
      <c r="M134" s="282" t="s">
        <v>801</v>
      </c>
      <c r="N134" s="291" t="s">
        <v>219</v>
      </c>
      <c r="O134" s="291" t="s">
        <v>163</v>
      </c>
      <c r="P134" s="291" t="s">
        <v>214</v>
      </c>
      <c r="Q134" s="291" t="s">
        <v>221</v>
      </c>
      <c r="R134" s="279" t="s">
        <v>802</v>
      </c>
      <c r="S134" s="279" t="s">
        <v>215</v>
      </c>
      <c r="T134" s="291" t="s">
        <v>163</v>
      </c>
      <c r="U134" s="335" t="s">
        <v>163</v>
      </c>
      <c r="V134" s="279">
        <v>1</v>
      </c>
      <c r="W134" s="344">
        <v>0.22916666666666666</v>
      </c>
      <c r="X134" s="279" t="s">
        <v>163</v>
      </c>
      <c r="Y134" s="279" t="s">
        <v>163</v>
      </c>
      <c r="Z134" s="279">
        <v>1</v>
      </c>
      <c r="AA134" s="279" t="s">
        <v>223</v>
      </c>
      <c r="AB134" s="279" t="s">
        <v>224</v>
      </c>
      <c r="AC134" s="279">
        <v>3</v>
      </c>
      <c r="AD134" s="279" t="s">
        <v>225</v>
      </c>
      <c r="AE134" s="280" t="s">
        <v>803</v>
      </c>
      <c r="AF134" s="291" t="s">
        <v>163</v>
      </c>
      <c r="AG134" s="279" t="s">
        <v>163</v>
      </c>
      <c r="AH134" s="279" t="s">
        <v>227</v>
      </c>
      <c r="AI134" s="279" t="s">
        <v>228</v>
      </c>
      <c r="AJ134" s="279" t="s">
        <v>163</v>
      </c>
      <c r="AK134" s="279" t="s">
        <v>163</v>
      </c>
      <c r="AL134" s="279" t="s">
        <v>163</v>
      </c>
      <c r="AM134" s="279" t="s">
        <v>163</v>
      </c>
      <c r="AN134" s="279" t="s">
        <v>163</v>
      </c>
      <c r="AO134" s="279" t="s">
        <v>163</v>
      </c>
      <c r="AP134" s="279" t="s">
        <v>163</v>
      </c>
      <c r="AQ134" s="279" t="s">
        <v>163</v>
      </c>
      <c r="AR134" s="279" t="s">
        <v>163</v>
      </c>
      <c r="AS134" s="279" t="s">
        <v>163</v>
      </c>
      <c r="AT134" s="279" t="s">
        <v>163</v>
      </c>
    </row>
    <row r="135" spans="1:46" ht="30.75">
      <c r="A135" s="57"/>
      <c r="B135" s="57"/>
      <c r="C135" s="59"/>
      <c r="L135" s="291" t="s">
        <v>804</v>
      </c>
      <c r="M135" s="282" t="s">
        <v>805</v>
      </c>
      <c r="N135" s="291" t="s">
        <v>219</v>
      </c>
      <c r="O135" s="291" t="s">
        <v>163</v>
      </c>
      <c r="P135" s="291" t="s">
        <v>569</v>
      </c>
      <c r="Q135" s="291" t="s">
        <v>221</v>
      </c>
      <c r="R135" s="279" t="s">
        <v>806</v>
      </c>
      <c r="S135" s="279" t="s">
        <v>215</v>
      </c>
      <c r="T135" s="291" t="s">
        <v>163</v>
      </c>
      <c r="U135" s="335" t="s">
        <v>163</v>
      </c>
      <c r="V135" s="279">
        <v>1</v>
      </c>
      <c r="W135" s="344">
        <v>3.472222222222222E-3</v>
      </c>
      <c r="X135" s="279" t="s">
        <v>163</v>
      </c>
      <c r="Y135" s="279" t="s">
        <v>163</v>
      </c>
      <c r="Z135" s="279">
        <v>1</v>
      </c>
      <c r="AA135" s="279" t="s">
        <v>223</v>
      </c>
      <c r="AB135" s="279" t="s">
        <v>224</v>
      </c>
      <c r="AC135" s="279">
        <v>3</v>
      </c>
      <c r="AD135" s="279" t="s">
        <v>225</v>
      </c>
      <c r="AE135" s="280" t="s">
        <v>807</v>
      </c>
      <c r="AF135" s="291" t="s">
        <v>163</v>
      </c>
      <c r="AG135" s="279" t="s">
        <v>163</v>
      </c>
      <c r="AH135" s="279" t="s">
        <v>227</v>
      </c>
      <c r="AI135" s="279" t="s">
        <v>228</v>
      </c>
      <c r="AJ135" s="279" t="s">
        <v>163</v>
      </c>
      <c r="AK135" s="279" t="s">
        <v>163</v>
      </c>
      <c r="AL135" s="279" t="s">
        <v>163</v>
      </c>
      <c r="AM135" s="279" t="s">
        <v>163</v>
      </c>
      <c r="AN135" s="279" t="s">
        <v>163</v>
      </c>
      <c r="AO135" s="279" t="s">
        <v>163</v>
      </c>
      <c r="AP135" s="279" t="s">
        <v>163</v>
      </c>
      <c r="AQ135" s="279" t="s">
        <v>163</v>
      </c>
      <c r="AR135" s="279" t="s">
        <v>163</v>
      </c>
      <c r="AS135" s="279" t="s">
        <v>163</v>
      </c>
      <c r="AT135" s="279" t="s">
        <v>163</v>
      </c>
    </row>
    <row r="136" spans="1:46" ht="45.75">
      <c r="A136" s="57" t="s">
        <v>128</v>
      </c>
      <c r="B136" s="57"/>
      <c r="C136" s="59">
        <v>1</v>
      </c>
      <c r="D136" s="5" t="s">
        <v>641</v>
      </c>
      <c r="F136" s="5" t="s">
        <v>808</v>
      </c>
      <c r="L136" s="291" t="s">
        <v>313</v>
      </c>
      <c r="M136" s="282" t="s">
        <v>809</v>
      </c>
      <c r="N136" s="291" t="s">
        <v>315</v>
      </c>
      <c r="O136" s="291" t="s">
        <v>163</v>
      </c>
      <c r="P136" s="291" t="s">
        <v>316</v>
      </c>
      <c r="Q136" s="291" t="s">
        <v>371</v>
      </c>
      <c r="R136" s="279" t="s">
        <v>163</v>
      </c>
      <c r="S136" s="279" t="s">
        <v>163</v>
      </c>
      <c r="T136" s="291" t="s">
        <v>329</v>
      </c>
      <c r="U136" s="335" t="s">
        <v>810</v>
      </c>
      <c r="V136" s="279">
        <v>1</v>
      </c>
      <c r="W136" s="344">
        <v>8.3333333333333329E-2</v>
      </c>
      <c r="X136" s="279" t="s">
        <v>163</v>
      </c>
      <c r="Y136" s="279" t="s">
        <v>163</v>
      </c>
      <c r="Z136" s="279">
        <v>1</v>
      </c>
      <c r="AA136" s="279" t="s">
        <v>163</v>
      </c>
      <c r="AB136" s="279" t="s">
        <v>224</v>
      </c>
      <c r="AC136" s="279" t="s">
        <v>163</v>
      </c>
      <c r="AD136" s="279" t="s">
        <v>320</v>
      </c>
      <c r="AE136" s="280" t="s">
        <v>811</v>
      </c>
      <c r="AF136" s="291" t="s">
        <v>332</v>
      </c>
      <c r="AG136" s="279" t="s">
        <v>163</v>
      </c>
      <c r="AH136" s="279" t="s">
        <v>163</v>
      </c>
      <c r="AI136" s="279" t="s">
        <v>163</v>
      </c>
      <c r="AJ136" s="279" t="s">
        <v>163</v>
      </c>
      <c r="AK136" s="279" t="s">
        <v>163</v>
      </c>
      <c r="AL136" s="279" t="s">
        <v>163</v>
      </c>
      <c r="AM136" s="279" t="s">
        <v>163</v>
      </c>
      <c r="AN136" s="279" t="s">
        <v>163</v>
      </c>
      <c r="AO136" s="279" t="s">
        <v>163</v>
      </c>
      <c r="AP136" s="279" t="s">
        <v>163</v>
      </c>
      <c r="AQ136" s="279" t="s">
        <v>163</v>
      </c>
      <c r="AR136" s="279" t="s">
        <v>163</v>
      </c>
      <c r="AS136" s="279" t="s">
        <v>163</v>
      </c>
      <c r="AT136" s="279" t="s">
        <v>163</v>
      </c>
    </row>
    <row r="137" spans="1:46" ht="76.5">
      <c r="A137" s="57" t="s">
        <v>129</v>
      </c>
      <c r="B137" s="57"/>
      <c r="C137" s="59">
        <v>1</v>
      </c>
      <c r="D137" s="5" t="s">
        <v>641</v>
      </c>
      <c r="L137" s="291" t="s">
        <v>313</v>
      </c>
      <c r="M137" s="282" t="s">
        <v>812</v>
      </c>
      <c r="N137" s="291" t="s">
        <v>315</v>
      </c>
      <c r="O137" s="291" t="s">
        <v>163</v>
      </c>
      <c r="P137" s="291" t="s">
        <v>316</v>
      </c>
      <c r="Q137" s="291" t="s">
        <v>371</v>
      </c>
      <c r="R137" s="279" t="s">
        <v>163</v>
      </c>
      <c r="S137" s="279" t="s">
        <v>163</v>
      </c>
      <c r="T137" s="291" t="s">
        <v>329</v>
      </c>
      <c r="U137" s="335" t="s">
        <v>813</v>
      </c>
      <c r="V137" s="279">
        <v>0</v>
      </c>
      <c r="W137" s="291" t="s">
        <v>163</v>
      </c>
      <c r="X137" s="279" t="s">
        <v>163</v>
      </c>
      <c r="Y137" s="279" t="s">
        <v>163</v>
      </c>
      <c r="Z137" s="279">
        <v>1</v>
      </c>
      <c r="AA137" s="279" t="s">
        <v>163</v>
      </c>
      <c r="AB137" s="279" t="s">
        <v>224</v>
      </c>
      <c r="AC137" s="279" t="s">
        <v>163</v>
      </c>
      <c r="AD137" s="279" t="s">
        <v>320</v>
      </c>
      <c r="AE137" s="280" t="s">
        <v>814</v>
      </c>
      <c r="AF137" s="291" t="s">
        <v>332</v>
      </c>
      <c r="AG137" s="279" t="s">
        <v>163</v>
      </c>
      <c r="AH137" s="279" t="s">
        <v>163</v>
      </c>
      <c r="AI137" s="279" t="s">
        <v>163</v>
      </c>
      <c r="AJ137" s="279" t="s">
        <v>163</v>
      </c>
      <c r="AK137" s="279" t="s">
        <v>163</v>
      </c>
      <c r="AL137" s="279" t="s">
        <v>163</v>
      </c>
      <c r="AM137" s="279" t="s">
        <v>163</v>
      </c>
      <c r="AN137" s="279" t="s">
        <v>163</v>
      </c>
      <c r="AO137" s="279" t="s">
        <v>163</v>
      </c>
      <c r="AP137" s="279" t="s">
        <v>163</v>
      </c>
      <c r="AQ137" s="279" t="s">
        <v>163</v>
      </c>
      <c r="AR137" s="279" t="s">
        <v>163</v>
      </c>
      <c r="AS137" s="279" t="s">
        <v>163</v>
      </c>
      <c r="AT137" s="279" t="s">
        <v>163</v>
      </c>
    </row>
    <row r="138" spans="1:46" ht="60.75">
      <c r="A138" s="57" t="s">
        <v>130</v>
      </c>
      <c r="B138" s="57"/>
      <c r="C138" s="59">
        <v>1</v>
      </c>
      <c r="D138" s="5" t="s">
        <v>641</v>
      </c>
      <c r="F138" s="5" t="s">
        <v>815</v>
      </c>
      <c r="L138" s="291" t="s">
        <v>313</v>
      </c>
      <c r="M138" s="282" t="s">
        <v>816</v>
      </c>
      <c r="N138" s="291" t="s">
        <v>315</v>
      </c>
      <c r="O138" s="291" t="s">
        <v>163</v>
      </c>
      <c r="P138" s="291" t="s">
        <v>316</v>
      </c>
      <c r="Q138" s="291" t="s">
        <v>371</v>
      </c>
      <c r="R138" s="279" t="s">
        <v>163</v>
      </c>
      <c r="S138" s="279" t="s">
        <v>163</v>
      </c>
      <c r="T138" s="291" t="s">
        <v>329</v>
      </c>
      <c r="U138" s="335" t="s">
        <v>817</v>
      </c>
      <c r="V138" s="279">
        <v>0</v>
      </c>
      <c r="W138" s="291" t="s">
        <v>163</v>
      </c>
      <c r="X138" s="279" t="s">
        <v>163</v>
      </c>
      <c r="Y138" s="279" t="s">
        <v>163</v>
      </c>
      <c r="Z138" s="279">
        <v>1</v>
      </c>
      <c r="AA138" s="279" t="s">
        <v>163</v>
      </c>
      <c r="AB138" s="279" t="s">
        <v>224</v>
      </c>
      <c r="AC138" s="279" t="s">
        <v>163</v>
      </c>
      <c r="AD138" s="279" t="s">
        <v>320</v>
      </c>
      <c r="AE138" s="280" t="s">
        <v>818</v>
      </c>
      <c r="AF138" s="291" t="s">
        <v>332</v>
      </c>
      <c r="AG138" s="279" t="s">
        <v>163</v>
      </c>
      <c r="AH138" s="279" t="s">
        <v>163</v>
      </c>
      <c r="AI138" s="279" t="s">
        <v>163</v>
      </c>
      <c r="AJ138" s="279" t="s">
        <v>163</v>
      </c>
      <c r="AK138" s="279" t="s">
        <v>163</v>
      </c>
      <c r="AL138" s="279" t="s">
        <v>163</v>
      </c>
      <c r="AM138" s="279" t="s">
        <v>163</v>
      </c>
      <c r="AN138" s="279" t="s">
        <v>163</v>
      </c>
      <c r="AO138" s="279" t="s">
        <v>163</v>
      </c>
      <c r="AP138" s="279" t="s">
        <v>163</v>
      </c>
      <c r="AQ138" s="279" t="s">
        <v>163</v>
      </c>
      <c r="AR138" s="279" t="s">
        <v>163</v>
      </c>
      <c r="AS138" s="279" t="s">
        <v>163</v>
      </c>
      <c r="AT138" s="279" t="s">
        <v>163</v>
      </c>
    </row>
    <row r="139" spans="1:46" ht="76.5">
      <c r="A139" s="57"/>
      <c r="B139" s="57"/>
      <c r="C139" s="71"/>
      <c r="L139" s="291" t="s">
        <v>313</v>
      </c>
      <c r="M139" s="282" t="s">
        <v>819</v>
      </c>
      <c r="N139" s="291" t="s">
        <v>315</v>
      </c>
      <c r="O139" s="291" t="s">
        <v>163</v>
      </c>
      <c r="P139" s="291" t="s">
        <v>316</v>
      </c>
      <c r="Q139" s="291" t="s">
        <v>371</v>
      </c>
      <c r="R139" s="279" t="s">
        <v>163</v>
      </c>
      <c r="S139" s="279" t="s">
        <v>163</v>
      </c>
      <c r="T139" s="291" t="s">
        <v>329</v>
      </c>
      <c r="U139" s="335" t="s">
        <v>820</v>
      </c>
      <c r="V139" s="279">
        <v>0</v>
      </c>
      <c r="W139" s="291" t="s">
        <v>163</v>
      </c>
      <c r="X139" s="279" t="s">
        <v>163</v>
      </c>
      <c r="Y139" s="279" t="s">
        <v>163</v>
      </c>
      <c r="Z139" s="279">
        <v>1</v>
      </c>
      <c r="AA139" s="279" t="s">
        <v>163</v>
      </c>
      <c r="AB139" s="279" t="s">
        <v>224</v>
      </c>
      <c r="AC139" s="279" t="s">
        <v>163</v>
      </c>
      <c r="AD139" s="279" t="s">
        <v>320</v>
      </c>
      <c r="AE139" s="280" t="s">
        <v>821</v>
      </c>
      <c r="AF139" s="291" t="s">
        <v>332</v>
      </c>
      <c r="AG139" s="279" t="s">
        <v>163</v>
      </c>
      <c r="AH139" s="279" t="s">
        <v>163</v>
      </c>
      <c r="AI139" s="279" t="s">
        <v>163</v>
      </c>
      <c r="AJ139" s="279" t="s">
        <v>163</v>
      </c>
      <c r="AK139" s="279" t="s">
        <v>163</v>
      </c>
      <c r="AL139" s="279" t="s">
        <v>163</v>
      </c>
      <c r="AM139" s="279" t="s">
        <v>163</v>
      </c>
      <c r="AN139" s="279" t="s">
        <v>163</v>
      </c>
      <c r="AO139" s="279" t="s">
        <v>163</v>
      </c>
      <c r="AP139" s="279" t="s">
        <v>163</v>
      </c>
      <c r="AQ139" s="279" t="s">
        <v>163</v>
      </c>
      <c r="AR139" s="279" t="s">
        <v>163</v>
      </c>
      <c r="AS139" s="279" t="s">
        <v>163</v>
      </c>
      <c r="AT139" s="279" t="s">
        <v>163</v>
      </c>
    </row>
    <row r="140" spans="1:46" ht="137.25">
      <c r="A140" s="72" t="s">
        <v>131</v>
      </c>
      <c r="B140" s="72"/>
      <c r="C140" s="5">
        <v>1</v>
      </c>
      <c r="D140" s="81" t="s">
        <v>822</v>
      </c>
      <c r="E140" s="80">
        <v>0.70833333333333337</v>
      </c>
      <c r="F140" s="5" t="s">
        <v>823</v>
      </c>
      <c r="G140" s="49" t="s">
        <v>824</v>
      </c>
      <c r="L140" s="291" t="s">
        <v>313</v>
      </c>
      <c r="M140" s="282" t="s">
        <v>825</v>
      </c>
      <c r="N140" s="291" t="s">
        <v>315</v>
      </c>
      <c r="O140" s="291" t="s">
        <v>163</v>
      </c>
      <c r="P140" s="291" t="s">
        <v>316</v>
      </c>
      <c r="Q140" s="291" t="s">
        <v>371</v>
      </c>
      <c r="R140" s="279" t="s">
        <v>163</v>
      </c>
      <c r="S140" s="279" t="s">
        <v>163</v>
      </c>
      <c r="T140" s="291" t="s">
        <v>329</v>
      </c>
      <c r="U140" s="335" t="s">
        <v>826</v>
      </c>
      <c r="V140" s="279">
        <v>1</v>
      </c>
      <c r="W140" s="344">
        <v>0.16666666666666666</v>
      </c>
      <c r="X140" s="279" t="s">
        <v>827</v>
      </c>
      <c r="Y140" s="279" t="s">
        <v>163</v>
      </c>
      <c r="Z140" s="279">
        <v>1</v>
      </c>
      <c r="AA140" s="279" t="s">
        <v>163</v>
      </c>
      <c r="AB140" s="279" t="s">
        <v>224</v>
      </c>
      <c r="AC140" s="279" t="s">
        <v>163</v>
      </c>
      <c r="AD140" s="279" t="s">
        <v>320</v>
      </c>
      <c r="AE140" s="280" t="s">
        <v>828</v>
      </c>
      <c r="AF140" s="291" t="s">
        <v>332</v>
      </c>
      <c r="AG140" s="279" t="s">
        <v>163</v>
      </c>
      <c r="AH140" s="279" t="s">
        <v>163</v>
      </c>
      <c r="AI140" s="279" t="s">
        <v>163</v>
      </c>
      <c r="AJ140" s="279" t="s">
        <v>163</v>
      </c>
      <c r="AK140" s="279" t="s">
        <v>163</v>
      </c>
      <c r="AL140" s="279" t="s">
        <v>163</v>
      </c>
      <c r="AM140" s="279" t="s">
        <v>163</v>
      </c>
      <c r="AN140" s="279" t="s">
        <v>163</v>
      </c>
      <c r="AO140" s="279" t="s">
        <v>163</v>
      </c>
      <c r="AP140" s="279" t="s">
        <v>163</v>
      </c>
      <c r="AQ140" s="279" t="s">
        <v>163</v>
      </c>
      <c r="AR140" s="279" t="s">
        <v>163</v>
      </c>
      <c r="AS140" s="279" t="s">
        <v>163</v>
      </c>
      <c r="AT140" s="279" t="s">
        <v>163</v>
      </c>
    </row>
    <row r="141" spans="1:46" ht="121.5">
      <c r="A141" s="72" t="s">
        <v>132</v>
      </c>
      <c r="B141" s="72"/>
      <c r="C141" s="71">
        <v>1</v>
      </c>
      <c r="D141" s="5" t="s">
        <v>829</v>
      </c>
      <c r="E141" s="80">
        <v>0.70833333333333337</v>
      </c>
      <c r="F141" s="5" t="s">
        <v>830</v>
      </c>
      <c r="G141" s="53" t="s">
        <v>831</v>
      </c>
      <c r="L141" s="291" t="s">
        <v>313</v>
      </c>
      <c r="M141" s="282" t="s">
        <v>832</v>
      </c>
      <c r="N141" s="291" t="s">
        <v>315</v>
      </c>
      <c r="O141" s="291" t="s">
        <v>163</v>
      </c>
      <c r="P141" s="291" t="s">
        <v>316</v>
      </c>
      <c r="Q141" s="291" t="s">
        <v>371</v>
      </c>
      <c r="R141" s="279" t="s">
        <v>163</v>
      </c>
      <c r="S141" s="279" t="s">
        <v>163</v>
      </c>
      <c r="T141" s="291" t="s">
        <v>329</v>
      </c>
      <c r="U141" s="335" t="s">
        <v>833</v>
      </c>
      <c r="V141" s="279">
        <v>1</v>
      </c>
      <c r="W141" s="344">
        <v>0.70833333333333337</v>
      </c>
      <c r="X141" s="279" t="s">
        <v>834</v>
      </c>
      <c r="Y141" s="279" t="s">
        <v>163</v>
      </c>
      <c r="Z141" s="279">
        <v>1</v>
      </c>
      <c r="AA141" s="279" t="s">
        <v>163</v>
      </c>
      <c r="AB141" s="279" t="s">
        <v>224</v>
      </c>
      <c r="AC141" s="279" t="s">
        <v>163</v>
      </c>
      <c r="AD141" s="279" t="s">
        <v>320</v>
      </c>
      <c r="AE141" s="280" t="s">
        <v>835</v>
      </c>
      <c r="AF141" s="291" t="s">
        <v>332</v>
      </c>
      <c r="AG141" s="279" t="s">
        <v>163</v>
      </c>
      <c r="AH141" s="279" t="s">
        <v>163</v>
      </c>
      <c r="AI141" s="279" t="s">
        <v>163</v>
      </c>
      <c r="AJ141" s="279" t="s">
        <v>163</v>
      </c>
      <c r="AK141" s="279" t="s">
        <v>163</v>
      </c>
      <c r="AL141" s="279" t="s">
        <v>163</v>
      </c>
      <c r="AM141" s="279" t="s">
        <v>163</v>
      </c>
      <c r="AN141" s="279" t="s">
        <v>163</v>
      </c>
      <c r="AO141" s="279" t="s">
        <v>163</v>
      </c>
      <c r="AP141" s="279" t="s">
        <v>163</v>
      </c>
      <c r="AQ141" s="279" t="s">
        <v>163</v>
      </c>
      <c r="AR141" s="279" t="s">
        <v>163</v>
      </c>
      <c r="AS141" s="279" t="s">
        <v>163</v>
      </c>
      <c r="AT141" s="279" t="s">
        <v>163</v>
      </c>
    </row>
    <row r="142" spans="1:46" ht="76.5">
      <c r="A142" s="72" t="s">
        <v>133</v>
      </c>
      <c r="B142" s="72"/>
      <c r="C142" s="71">
        <v>1</v>
      </c>
      <c r="D142" s="5" t="s">
        <v>836</v>
      </c>
      <c r="E142" s="80">
        <v>0.70833333333333337</v>
      </c>
      <c r="F142" s="5" t="s">
        <v>837</v>
      </c>
      <c r="G142" s="50" t="s">
        <v>831</v>
      </c>
      <c r="L142" s="291" t="s">
        <v>313</v>
      </c>
      <c r="M142" s="282" t="s">
        <v>838</v>
      </c>
      <c r="N142" s="291" t="s">
        <v>315</v>
      </c>
      <c r="O142" s="291" t="s">
        <v>163</v>
      </c>
      <c r="P142" s="291" t="s">
        <v>316</v>
      </c>
      <c r="Q142" s="291" t="s">
        <v>371</v>
      </c>
      <c r="R142" s="279" t="s">
        <v>163</v>
      </c>
      <c r="S142" s="279" t="s">
        <v>163</v>
      </c>
      <c r="T142" s="291" t="s">
        <v>329</v>
      </c>
      <c r="U142" s="280" t="s">
        <v>839</v>
      </c>
      <c r="V142" s="279">
        <v>1</v>
      </c>
      <c r="W142" s="344">
        <v>0.875</v>
      </c>
      <c r="X142" s="279" t="s">
        <v>840</v>
      </c>
      <c r="Y142" s="279" t="s">
        <v>163</v>
      </c>
      <c r="Z142" s="279">
        <v>1</v>
      </c>
      <c r="AA142" s="279" t="s">
        <v>163</v>
      </c>
      <c r="AB142" s="279" t="s">
        <v>224</v>
      </c>
      <c r="AC142" s="279" t="s">
        <v>163</v>
      </c>
      <c r="AD142" s="279" t="s">
        <v>320</v>
      </c>
      <c r="AE142" s="280" t="s">
        <v>841</v>
      </c>
      <c r="AF142" s="291" t="s">
        <v>332</v>
      </c>
      <c r="AG142" s="279" t="s">
        <v>163</v>
      </c>
      <c r="AH142" s="279" t="s">
        <v>163</v>
      </c>
      <c r="AI142" s="279" t="s">
        <v>163</v>
      </c>
      <c r="AJ142" s="279" t="s">
        <v>163</v>
      </c>
      <c r="AK142" s="279" t="s">
        <v>163</v>
      </c>
      <c r="AL142" s="279" t="s">
        <v>163</v>
      </c>
      <c r="AM142" s="279" t="s">
        <v>163</v>
      </c>
      <c r="AN142" s="279" t="s">
        <v>163</v>
      </c>
      <c r="AO142" s="279" t="s">
        <v>163</v>
      </c>
      <c r="AP142" s="279" t="s">
        <v>163</v>
      </c>
      <c r="AQ142" s="279" t="s">
        <v>163</v>
      </c>
      <c r="AR142" s="279" t="s">
        <v>163</v>
      </c>
      <c r="AS142" s="279" t="s">
        <v>163</v>
      </c>
      <c r="AT142" s="279" t="s">
        <v>163</v>
      </c>
    </row>
    <row r="143" spans="1:46" ht="121.5">
      <c r="A143" s="72" t="s">
        <v>134</v>
      </c>
      <c r="B143" s="72"/>
      <c r="C143" s="71">
        <v>1</v>
      </c>
      <c r="D143" s="5" t="s">
        <v>842</v>
      </c>
      <c r="E143" s="80">
        <v>0.70833333333333337</v>
      </c>
      <c r="F143" s="5" t="s">
        <v>843</v>
      </c>
      <c r="G143" s="49" t="s">
        <v>844</v>
      </c>
      <c r="L143" s="291" t="s">
        <v>313</v>
      </c>
      <c r="M143" s="282" t="s">
        <v>845</v>
      </c>
      <c r="N143" s="291" t="s">
        <v>315</v>
      </c>
      <c r="O143" s="291" t="s">
        <v>163</v>
      </c>
      <c r="P143" s="291" t="s">
        <v>316</v>
      </c>
      <c r="Q143" s="291" t="s">
        <v>371</v>
      </c>
      <c r="R143" s="279" t="s">
        <v>163</v>
      </c>
      <c r="S143" s="279" t="s">
        <v>163</v>
      </c>
      <c r="T143" s="291" t="s">
        <v>329</v>
      </c>
      <c r="U143" s="335" t="s">
        <v>846</v>
      </c>
      <c r="V143" s="279">
        <v>1</v>
      </c>
      <c r="W143" s="344">
        <v>0.70833333333333337</v>
      </c>
      <c r="X143" s="279" t="s">
        <v>847</v>
      </c>
      <c r="Y143" s="279" t="s">
        <v>163</v>
      </c>
      <c r="Z143" s="279">
        <v>1</v>
      </c>
      <c r="AA143" s="279" t="s">
        <v>163</v>
      </c>
      <c r="AB143" s="279" t="s">
        <v>224</v>
      </c>
      <c r="AC143" s="279" t="s">
        <v>163</v>
      </c>
      <c r="AD143" s="279" t="s">
        <v>320</v>
      </c>
      <c r="AE143" s="280" t="s">
        <v>848</v>
      </c>
      <c r="AF143" s="291" t="s">
        <v>332</v>
      </c>
      <c r="AG143" s="279" t="s">
        <v>163</v>
      </c>
      <c r="AH143" s="279" t="s">
        <v>163</v>
      </c>
      <c r="AI143" s="279" t="s">
        <v>163</v>
      </c>
      <c r="AJ143" s="279" t="s">
        <v>163</v>
      </c>
      <c r="AK143" s="279" t="s">
        <v>163</v>
      </c>
      <c r="AL143" s="279" t="s">
        <v>163</v>
      </c>
      <c r="AM143" s="279" t="s">
        <v>163</v>
      </c>
      <c r="AN143" s="279" t="s">
        <v>163</v>
      </c>
      <c r="AO143" s="279" t="s">
        <v>163</v>
      </c>
      <c r="AP143" s="279" t="s">
        <v>163</v>
      </c>
      <c r="AQ143" s="279" t="s">
        <v>163</v>
      </c>
      <c r="AR143" s="279" t="s">
        <v>163</v>
      </c>
      <c r="AS143" s="279" t="s">
        <v>163</v>
      </c>
      <c r="AT143" s="279" t="s">
        <v>163</v>
      </c>
    </row>
    <row r="144" spans="1:46" s="2" customFormat="1" ht="121.5">
      <c r="A144" s="90" t="s">
        <v>135</v>
      </c>
      <c r="B144" s="90"/>
      <c r="C144" s="91">
        <v>1</v>
      </c>
      <c r="D144" s="2" t="s">
        <v>842</v>
      </c>
      <c r="E144" s="92">
        <v>0.70833333333333337</v>
      </c>
      <c r="F144" s="2" t="s">
        <v>849</v>
      </c>
      <c r="L144" s="291" t="s">
        <v>313</v>
      </c>
      <c r="M144" s="282" t="s">
        <v>850</v>
      </c>
      <c r="N144" s="291" t="s">
        <v>315</v>
      </c>
      <c r="O144" s="291" t="s">
        <v>163</v>
      </c>
      <c r="P144" s="291" t="s">
        <v>316</v>
      </c>
      <c r="Q144" s="291" t="s">
        <v>371</v>
      </c>
      <c r="R144" s="279" t="s">
        <v>163</v>
      </c>
      <c r="S144" s="279" t="s">
        <v>163</v>
      </c>
      <c r="T144" s="291" t="s">
        <v>329</v>
      </c>
      <c r="U144" s="335" t="s">
        <v>851</v>
      </c>
      <c r="V144" s="279">
        <v>1</v>
      </c>
      <c r="W144" s="344">
        <v>0.70833333333333337</v>
      </c>
      <c r="X144" s="279" t="s">
        <v>852</v>
      </c>
      <c r="Y144" s="279" t="s">
        <v>163</v>
      </c>
      <c r="Z144" s="279">
        <v>1</v>
      </c>
      <c r="AA144" s="279" t="s">
        <v>163</v>
      </c>
      <c r="AB144" s="279" t="s">
        <v>224</v>
      </c>
      <c r="AC144" s="279" t="s">
        <v>163</v>
      </c>
      <c r="AD144" s="279" t="s">
        <v>320</v>
      </c>
      <c r="AE144" s="280" t="s">
        <v>853</v>
      </c>
      <c r="AF144" s="291" t="s">
        <v>332</v>
      </c>
      <c r="AG144" s="279" t="s">
        <v>163</v>
      </c>
      <c r="AH144" s="279" t="s">
        <v>163</v>
      </c>
      <c r="AI144" s="279" t="s">
        <v>163</v>
      </c>
      <c r="AJ144" s="279" t="s">
        <v>163</v>
      </c>
      <c r="AK144" s="279" t="s">
        <v>163</v>
      </c>
      <c r="AL144" s="279" t="s">
        <v>163</v>
      </c>
      <c r="AM144" s="279" t="s">
        <v>163</v>
      </c>
      <c r="AN144" s="279" t="s">
        <v>163</v>
      </c>
      <c r="AO144" s="279" t="s">
        <v>163</v>
      </c>
      <c r="AP144" s="279" t="s">
        <v>163</v>
      </c>
      <c r="AQ144" s="279" t="s">
        <v>163</v>
      </c>
      <c r="AR144" s="279" t="s">
        <v>163</v>
      </c>
      <c r="AS144" s="279" t="s">
        <v>163</v>
      </c>
      <c r="AT144" s="279" t="s">
        <v>163</v>
      </c>
    </row>
    <row r="145" spans="1:46">
      <c r="A145" s="72"/>
      <c r="B145" s="72"/>
      <c r="C145" s="71"/>
      <c r="L145" s="291" t="s">
        <v>163</v>
      </c>
      <c r="M145" s="282" t="s">
        <v>163</v>
      </c>
      <c r="N145" s="291" t="s">
        <v>163</v>
      </c>
      <c r="O145" s="291" t="s">
        <v>163</v>
      </c>
      <c r="P145" s="291" t="s">
        <v>163</v>
      </c>
      <c r="Q145" s="291" t="s">
        <v>163</v>
      </c>
      <c r="R145" s="279" t="s">
        <v>163</v>
      </c>
      <c r="S145" s="279" t="s">
        <v>163</v>
      </c>
      <c r="T145" s="291" t="s">
        <v>163</v>
      </c>
      <c r="U145" s="279" t="s">
        <v>163</v>
      </c>
      <c r="V145" s="279" t="s">
        <v>163</v>
      </c>
      <c r="W145" s="291" t="s">
        <v>163</v>
      </c>
      <c r="X145" s="279" t="s">
        <v>163</v>
      </c>
      <c r="Y145" s="279" t="s">
        <v>163</v>
      </c>
      <c r="Z145" s="279" t="s">
        <v>163</v>
      </c>
      <c r="AA145" s="279" t="s">
        <v>163</v>
      </c>
      <c r="AB145" s="279" t="s">
        <v>163</v>
      </c>
      <c r="AC145" s="279" t="s">
        <v>163</v>
      </c>
      <c r="AD145" s="279" t="s">
        <v>163</v>
      </c>
      <c r="AE145" s="280" t="s">
        <v>163</v>
      </c>
      <c r="AF145" s="291" t="s">
        <v>163</v>
      </c>
      <c r="AG145" s="279" t="s">
        <v>163</v>
      </c>
      <c r="AH145" s="279" t="s">
        <v>163</v>
      </c>
      <c r="AI145" s="279" t="s">
        <v>163</v>
      </c>
      <c r="AJ145" s="279" t="s">
        <v>163</v>
      </c>
      <c r="AK145" s="279" t="s">
        <v>163</v>
      </c>
      <c r="AL145" s="279" t="s">
        <v>163</v>
      </c>
      <c r="AM145" s="279" t="s">
        <v>163</v>
      </c>
      <c r="AN145" s="279" t="s">
        <v>163</v>
      </c>
      <c r="AO145" s="279" t="s">
        <v>163</v>
      </c>
      <c r="AP145" s="279" t="s">
        <v>163</v>
      </c>
      <c r="AQ145" s="279" t="s">
        <v>163</v>
      </c>
      <c r="AR145" s="279" t="s">
        <v>163</v>
      </c>
      <c r="AS145" s="279" t="s">
        <v>163</v>
      </c>
      <c r="AT145" s="279" t="s">
        <v>163</v>
      </c>
    </row>
    <row r="146" spans="1:46" ht="106.5">
      <c r="A146" s="57" t="s">
        <v>136</v>
      </c>
      <c r="B146" s="57"/>
      <c r="C146" s="59">
        <v>1</v>
      </c>
      <c r="D146" s="5" t="s">
        <v>854</v>
      </c>
      <c r="E146" s="78" t="s">
        <v>855</v>
      </c>
      <c r="F146" s="5" t="s">
        <v>856</v>
      </c>
      <c r="L146" s="291" t="s">
        <v>163</v>
      </c>
      <c r="M146" s="282" t="s">
        <v>163</v>
      </c>
      <c r="N146" s="291" t="s">
        <v>163</v>
      </c>
      <c r="O146" s="291" t="s">
        <v>163</v>
      </c>
      <c r="P146" s="291" t="s">
        <v>163</v>
      </c>
      <c r="Q146" s="291" t="s">
        <v>163</v>
      </c>
      <c r="R146" s="279" t="s">
        <v>163</v>
      </c>
      <c r="S146" s="279" t="s">
        <v>163</v>
      </c>
      <c r="T146" s="291" t="s">
        <v>163</v>
      </c>
      <c r="U146" s="279" t="s">
        <v>163</v>
      </c>
      <c r="V146" s="279" t="s">
        <v>163</v>
      </c>
      <c r="W146" s="291" t="s">
        <v>163</v>
      </c>
      <c r="X146" s="279" t="s">
        <v>163</v>
      </c>
      <c r="Y146" s="279" t="s">
        <v>163</v>
      </c>
      <c r="Z146" s="279" t="s">
        <v>163</v>
      </c>
      <c r="AA146" s="279" t="s">
        <v>163</v>
      </c>
      <c r="AB146" s="279" t="s">
        <v>163</v>
      </c>
      <c r="AC146" s="279" t="s">
        <v>163</v>
      </c>
      <c r="AD146" s="279" t="s">
        <v>163</v>
      </c>
      <c r="AE146" s="280" t="s">
        <v>163</v>
      </c>
      <c r="AF146" s="291" t="s">
        <v>163</v>
      </c>
      <c r="AG146" s="279" t="s">
        <v>163</v>
      </c>
      <c r="AH146" s="279" t="s">
        <v>163</v>
      </c>
      <c r="AI146" s="279" t="s">
        <v>163</v>
      </c>
      <c r="AJ146" s="279" t="s">
        <v>163</v>
      </c>
      <c r="AK146" s="279" t="s">
        <v>163</v>
      </c>
      <c r="AL146" s="279" t="s">
        <v>163</v>
      </c>
      <c r="AM146" s="279" t="s">
        <v>163</v>
      </c>
      <c r="AN146" s="279" t="s">
        <v>163</v>
      </c>
      <c r="AO146" s="279" t="s">
        <v>163</v>
      </c>
      <c r="AP146" s="279" t="s">
        <v>163</v>
      </c>
      <c r="AQ146" s="279" t="s">
        <v>163</v>
      </c>
      <c r="AR146" s="279" t="s">
        <v>163</v>
      </c>
      <c r="AS146" s="279" t="s">
        <v>163</v>
      </c>
      <c r="AT146" s="279" t="s">
        <v>163</v>
      </c>
    </row>
    <row r="147" spans="1:46" ht="152.25">
      <c r="A147" s="57" t="s">
        <v>137</v>
      </c>
      <c r="B147" s="57"/>
      <c r="C147" s="59">
        <v>1</v>
      </c>
      <c r="D147" s="5" t="s">
        <v>857</v>
      </c>
      <c r="E147" s="80" t="s">
        <v>858</v>
      </c>
      <c r="F147" s="5" t="s">
        <v>859</v>
      </c>
      <c r="L147" s="291" t="s">
        <v>163</v>
      </c>
      <c r="M147" s="282" t="s">
        <v>163</v>
      </c>
      <c r="N147" s="291" t="s">
        <v>163</v>
      </c>
      <c r="O147" s="291" t="s">
        <v>163</v>
      </c>
      <c r="P147" s="291" t="s">
        <v>163</v>
      </c>
      <c r="Q147" s="291" t="s">
        <v>163</v>
      </c>
      <c r="R147" s="279" t="s">
        <v>163</v>
      </c>
      <c r="S147" s="279" t="s">
        <v>163</v>
      </c>
      <c r="T147" s="291" t="s">
        <v>163</v>
      </c>
      <c r="U147" s="279" t="s">
        <v>163</v>
      </c>
      <c r="V147" s="279" t="s">
        <v>163</v>
      </c>
      <c r="W147" s="291" t="s">
        <v>163</v>
      </c>
      <c r="X147" s="279" t="s">
        <v>163</v>
      </c>
      <c r="Y147" s="279" t="s">
        <v>163</v>
      </c>
      <c r="Z147" s="279" t="s">
        <v>163</v>
      </c>
      <c r="AA147" s="279" t="s">
        <v>163</v>
      </c>
      <c r="AB147" s="279" t="s">
        <v>163</v>
      </c>
      <c r="AC147" s="279" t="s">
        <v>163</v>
      </c>
      <c r="AD147" s="279" t="s">
        <v>163</v>
      </c>
      <c r="AE147" s="280" t="s">
        <v>163</v>
      </c>
      <c r="AF147" s="291" t="s">
        <v>163</v>
      </c>
      <c r="AG147" s="279" t="s">
        <v>163</v>
      </c>
      <c r="AH147" s="279" t="s">
        <v>163</v>
      </c>
      <c r="AI147" s="279" t="s">
        <v>163</v>
      </c>
      <c r="AJ147" s="279" t="s">
        <v>163</v>
      </c>
      <c r="AK147" s="279" t="s">
        <v>163</v>
      </c>
      <c r="AL147" s="279" t="s">
        <v>163</v>
      </c>
      <c r="AM147" s="279" t="s">
        <v>163</v>
      </c>
      <c r="AN147" s="279" t="s">
        <v>163</v>
      </c>
      <c r="AO147" s="279" t="s">
        <v>163</v>
      </c>
      <c r="AP147" s="279" t="s">
        <v>163</v>
      </c>
      <c r="AQ147" s="279" t="s">
        <v>163</v>
      </c>
      <c r="AR147" s="279" t="s">
        <v>163</v>
      </c>
      <c r="AS147" s="279" t="s">
        <v>163</v>
      </c>
      <c r="AT147" s="279" t="s">
        <v>163</v>
      </c>
    </row>
    <row r="148" spans="1:46" ht="91.5">
      <c r="A148" s="57" t="s">
        <v>138</v>
      </c>
      <c r="B148" s="57"/>
      <c r="C148" s="59">
        <v>1</v>
      </c>
      <c r="D148" s="5" t="s">
        <v>860</v>
      </c>
      <c r="E148" s="80" t="s">
        <v>861</v>
      </c>
      <c r="F148" s="5" t="s">
        <v>859</v>
      </c>
      <c r="L148" s="291" t="s">
        <v>163</v>
      </c>
      <c r="M148" s="282" t="s">
        <v>163</v>
      </c>
      <c r="N148" s="291" t="s">
        <v>163</v>
      </c>
      <c r="O148" s="291" t="s">
        <v>163</v>
      </c>
      <c r="P148" s="291" t="s">
        <v>163</v>
      </c>
      <c r="Q148" s="291" t="s">
        <v>163</v>
      </c>
      <c r="R148" s="279" t="s">
        <v>163</v>
      </c>
      <c r="S148" s="279" t="s">
        <v>163</v>
      </c>
      <c r="T148" s="291" t="s">
        <v>163</v>
      </c>
      <c r="U148" s="279" t="s">
        <v>163</v>
      </c>
      <c r="V148" s="279" t="s">
        <v>163</v>
      </c>
      <c r="W148" s="291" t="s">
        <v>163</v>
      </c>
      <c r="X148" s="279" t="s">
        <v>163</v>
      </c>
      <c r="Y148" s="279" t="s">
        <v>163</v>
      </c>
      <c r="Z148" s="279" t="s">
        <v>163</v>
      </c>
      <c r="AA148" s="279" t="s">
        <v>163</v>
      </c>
      <c r="AB148" s="279" t="s">
        <v>163</v>
      </c>
      <c r="AC148" s="279" t="s">
        <v>163</v>
      </c>
      <c r="AD148" s="279" t="s">
        <v>163</v>
      </c>
      <c r="AE148" s="280" t="s">
        <v>163</v>
      </c>
      <c r="AF148" s="291" t="s">
        <v>163</v>
      </c>
      <c r="AG148" s="279" t="s">
        <v>163</v>
      </c>
      <c r="AH148" s="279" t="s">
        <v>163</v>
      </c>
      <c r="AI148" s="279" t="s">
        <v>163</v>
      </c>
      <c r="AJ148" s="279" t="s">
        <v>163</v>
      </c>
      <c r="AK148" s="279" t="s">
        <v>163</v>
      </c>
      <c r="AL148" s="279" t="s">
        <v>163</v>
      </c>
      <c r="AM148" s="279" t="s">
        <v>163</v>
      </c>
      <c r="AN148" s="279" t="s">
        <v>163</v>
      </c>
      <c r="AO148" s="279" t="s">
        <v>163</v>
      </c>
      <c r="AP148" s="279" t="s">
        <v>163</v>
      </c>
      <c r="AQ148" s="279" t="s">
        <v>163</v>
      </c>
      <c r="AR148" s="279" t="s">
        <v>163</v>
      </c>
      <c r="AS148" s="279" t="s">
        <v>163</v>
      </c>
      <c r="AT148" s="279" t="s">
        <v>163</v>
      </c>
    </row>
    <row r="149" spans="1:46">
      <c r="A149" s="57"/>
      <c r="B149" s="57"/>
      <c r="C149" s="59"/>
      <c r="L149" s="291" t="s">
        <v>163</v>
      </c>
      <c r="M149" s="282" t="s">
        <v>163</v>
      </c>
      <c r="N149" s="291" t="s">
        <v>163</v>
      </c>
      <c r="O149" s="291" t="s">
        <v>163</v>
      </c>
      <c r="P149" s="291" t="s">
        <v>163</v>
      </c>
      <c r="Q149" s="291" t="s">
        <v>163</v>
      </c>
      <c r="R149" s="279" t="s">
        <v>163</v>
      </c>
      <c r="S149" s="279" t="s">
        <v>163</v>
      </c>
      <c r="T149" s="291" t="s">
        <v>163</v>
      </c>
      <c r="U149" s="279" t="s">
        <v>163</v>
      </c>
      <c r="V149" s="279" t="s">
        <v>163</v>
      </c>
      <c r="W149" s="291" t="s">
        <v>163</v>
      </c>
      <c r="X149" s="279" t="s">
        <v>163</v>
      </c>
      <c r="Y149" s="279" t="s">
        <v>163</v>
      </c>
      <c r="Z149" s="279" t="s">
        <v>163</v>
      </c>
      <c r="AA149" s="279" t="s">
        <v>163</v>
      </c>
      <c r="AB149" s="279" t="s">
        <v>163</v>
      </c>
      <c r="AC149" s="279" t="s">
        <v>163</v>
      </c>
      <c r="AD149" s="279" t="s">
        <v>163</v>
      </c>
      <c r="AE149" s="280" t="s">
        <v>163</v>
      </c>
      <c r="AF149" s="291" t="s">
        <v>163</v>
      </c>
      <c r="AG149" s="279" t="s">
        <v>163</v>
      </c>
      <c r="AH149" s="279" t="s">
        <v>163</v>
      </c>
      <c r="AI149" s="279" t="s">
        <v>163</v>
      </c>
      <c r="AJ149" s="279" t="s">
        <v>163</v>
      </c>
      <c r="AK149" s="279" t="s">
        <v>163</v>
      </c>
      <c r="AL149" s="279" t="s">
        <v>163</v>
      </c>
      <c r="AM149" s="279" t="s">
        <v>163</v>
      </c>
      <c r="AN149" s="279" t="s">
        <v>163</v>
      </c>
      <c r="AO149" s="279" t="s">
        <v>163</v>
      </c>
      <c r="AP149" s="279" t="s">
        <v>163</v>
      </c>
      <c r="AQ149" s="279" t="s">
        <v>163</v>
      </c>
      <c r="AR149" s="279" t="s">
        <v>163</v>
      </c>
      <c r="AS149" s="279" t="s">
        <v>163</v>
      </c>
      <c r="AT149" s="279" t="s">
        <v>163</v>
      </c>
    </row>
    <row r="150" spans="1:46" ht="60.75">
      <c r="A150" s="57" t="s">
        <v>139</v>
      </c>
      <c r="B150" s="57"/>
      <c r="C150" s="59">
        <v>1</v>
      </c>
      <c r="D150" s="5" t="s">
        <v>862</v>
      </c>
      <c r="E150" s="80">
        <v>0.75</v>
      </c>
      <c r="F150" s="5" t="s">
        <v>863</v>
      </c>
      <c r="L150" s="291" t="s">
        <v>163</v>
      </c>
      <c r="M150" s="282" t="s">
        <v>864</v>
      </c>
      <c r="N150" s="291" t="s">
        <v>163</v>
      </c>
      <c r="O150" s="291" t="s">
        <v>163</v>
      </c>
      <c r="P150" s="291" t="s">
        <v>163</v>
      </c>
      <c r="Q150" s="291" t="s">
        <v>163</v>
      </c>
      <c r="R150" s="279" t="s">
        <v>163</v>
      </c>
      <c r="S150" s="279" t="s">
        <v>163</v>
      </c>
      <c r="T150" s="291" t="s">
        <v>163</v>
      </c>
      <c r="U150" s="279" t="s">
        <v>163</v>
      </c>
      <c r="V150" s="279" t="s">
        <v>163</v>
      </c>
      <c r="W150" s="291" t="s">
        <v>163</v>
      </c>
      <c r="X150" s="279" t="s">
        <v>163</v>
      </c>
      <c r="Y150" s="279" t="s">
        <v>163</v>
      </c>
      <c r="Z150" s="279" t="s">
        <v>163</v>
      </c>
      <c r="AA150" s="279" t="s">
        <v>163</v>
      </c>
      <c r="AB150" s="279" t="s">
        <v>163</v>
      </c>
      <c r="AC150" s="279" t="s">
        <v>163</v>
      </c>
      <c r="AD150" s="279" t="s">
        <v>163</v>
      </c>
      <c r="AE150" s="280" t="s">
        <v>163</v>
      </c>
      <c r="AF150" s="291" t="s">
        <v>163</v>
      </c>
      <c r="AG150" s="279" t="s">
        <v>163</v>
      </c>
      <c r="AH150" s="279" t="s">
        <v>163</v>
      </c>
      <c r="AI150" s="279" t="s">
        <v>163</v>
      </c>
      <c r="AJ150" s="279" t="s">
        <v>163</v>
      </c>
      <c r="AK150" s="279" t="s">
        <v>163</v>
      </c>
      <c r="AL150" s="279" t="s">
        <v>163</v>
      </c>
      <c r="AM150" s="279" t="s">
        <v>163</v>
      </c>
      <c r="AN150" s="279" t="s">
        <v>163</v>
      </c>
      <c r="AO150" s="279" t="s">
        <v>163</v>
      </c>
      <c r="AP150" s="279" t="s">
        <v>163</v>
      </c>
      <c r="AQ150" s="279" t="s">
        <v>163</v>
      </c>
      <c r="AR150" s="279" t="s">
        <v>163</v>
      </c>
      <c r="AS150" s="279" t="s">
        <v>163</v>
      </c>
      <c r="AT150" s="279" t="s">
        <v>163</v>
      </c>
    </row>
    <row r="151" spans="1:46">
      <c r="L151" s="304" t="s">
        <v>163</v>
      </c>
      <c r="M151" s="282" t="s">
        <v>163</v>
      </c>
      <c r="N151" s="291" t="s">
        <v>163</v>
      </c>
      <c r="O151" s="291" t="s">
        <v>163</v>
      </c>
      <c r="P151" s="291" t="s">
        <v>163</v>
      </c>
      <c r="Q151" s="291" t="s">
        <v>163</v>
      </c>
      <c r="R151" s="279" t="s">
        <v>163</v>
      </c>
      <c r="S151" s="279" t="s">
        <v>163</v>
      </c>
      <c r="T151" s="291" t="s">
        <v>163</v>
      </c>
      <c r="U151" s="279" t="s">
        <v>163</v>
      </c>
      <c r="V151" s="279" t="s">
        <v>163</v>
      </c>
      <c r="W151" s="291" t="s">
        <v>163</v>
      </c>
      <c r="X151" s="279" t="s">
        <v>163</v>
      </c>
      <c r="Y151" s="279" t="s">
        <v>163</v>
      </c>
      <c r="Z151" s="279" t="s">
        <v>163</v>
      </c>
      <c r="AA151" s="279" t="s">
        <v>163</v>
      </c>
      <c r="AB151" s="279" t="s">
        <v>163</v>
      </c>
      <c r="AC151" s="279" t="s">
        <v>163</v>
      </c>
      <c r="AD151" s="279" t="s">
        <v>163</v>
      </c>
      <c r="AE151" s="280" t="s">
        <v>163</v>
      </c>
      <c r="AF151" s="291" t="s">
        <v>163</v>
      </c>
      <c r="AG151" s="279" t="s">
        <v>163</v>
      </c>
      <c r="AH151" s="279" t="s">
        <v>163</v>
      </c>
      <c r="AI151" s="279" t="s">
        <v>163</v>
      </c>
      <c r="AJ151" s="279" t="s">
        <v>163</v>
      </c>
      <c r="AK151" s="279" t="s">
        <v>163</v>
      </c>
      <c r="AL151" s="279" t="s">
        <v>163</v>
      </c>
      <c r="AM151" s="279" t="s">
        <v>163</v>
      </c>
      <c r="AN151" s="279" t="s">
        <v>163</v>
      </c>
      <c r="AO151" s="279" t="s">
        <v>163</v>
      </c>
      <c r="AP151" s="279" t="s">
        <v>163</v>
      </c>
      <c r="AQ151" s="279" t="s">
        <v>163</v>
      </c>
      <c r="AR151" s="279" t="s">
        <v>163</v>
      </c>
      <c r="AS151" s="279" t="s">
        <v>163</v>
      </c>
      <c r="AT151" s="279" t="s">
        <v>163</v>
      </c>
    </row>
    <row r="152" spans="1:46">
      <c r="A152" s="5" t="s">
        <v>140</v>
      </c>
      <c r="C152" s="41">
        <v>1</v>
      </c>
      <c r="D152" s="86" t="s">
        <v>211</v>
      </c>
      <c r="E152" s="80">
        <v>0.625</v>
      </c>
      <c r="F152" s="5" t="s">
        <v>865</v>
      </c>
      <c r="L152" s="306" t="s">
        <v>163</v>
      </c>
      <c r="M152" s="282" t="s">
        <v>163</v>
      </c>
      <c r="N152" s="291" t="s">
        <v>163</v>
      </c>
      <c r="O152" s="291" t="s">
        <v>163</v>
      </c>
      <c r="P152" s="291" t="s">
        <v>163</v>
      </c>
      <c r="Q152" s="291" t="s">
        <v>163</v>
      </c>
      <c r="R152" s="279" t="s">
        <v>163</v>
      </c>
      <c r="S152" s="279" t="s">
        <v>163</v>
      </c>
      <c r="T152" s="291" t="s">
        <v>163</v>
      </c>
      <c r="U152" s="279" t="s">
        <v>163</v>
      </c>
      <c r="V152" s="279" t="s">
        <v>163</v>
      </c>
      <c r="W152" s="291" t="s">
        <v>163</v>
      </c>
      <c r="X152" s="279" t="s">
        <v>163</v>
      </c>
      <c r="Y152" s="279" t="s">
        <v>163</v>
      </c>
      <c r="Z152" s="279" t="s">
        <v>163</v>
      </c>
      <c r="AA152" s="279" t="s">
        <v>163</v>
      </c>
      <c r="AB152" s="279" t="s">
        <v>163</v>
      </c>
      <c r="AC152" s="279" t="s">
        <v>163</v>
      </c>
      <c r="AD152" s="279" t="s">
        <v>163</v>
      </c>
      <c r="AE152" s="280" t="s">
        <v>163</v>
      </c>
      <c r="AF152" s="291" t="s">
        <v>163</v>
      </c>
      <c r="AG152" s="279" t="s">
        <v>163</v>
      </c>
      <c r="AH152" s="279" t="s">
        <v>163</v>
      </c>
      <c r="AI152" s="279" t="s">
        <v>163</v>
      </c>
      <c r="AJ152" s="279" t="s">
        <v>163</v>
      </c>
      <c r="AK152" s="279" t="s">
        <v>163</v>
      </c>
      <c r="AL152" s="279" t="s">
        <v>163</v>
      </c>
      <c r="AM152" s="279" t="s">
        <v>163</v>
      </c>
      <c r="AN152" s="279" t="s">
        <v>163</v>
      </c>
      <c r="AO152" s="279" t="s">
        <v>163</v>
      </c>
      <c r="AP152" s="279" t="s">
        <v>163</v>
      </c>
      <c r="AQ152" s="279" t="s">
        <v>163</v>
      </c>
      <c r="AR152" s="279" t="s">
        <v>163</v>
      </c>
      <c r="AS152" s="279" t="s">
        <v>163</v>
      </c>
      <c r="AT152" s="279" t="s">
        <v>163</v>
      </c>
    </row>
    <row r="153" spans="1:46" ht="45.75">
      <c r="A153" s="5" t="s">
        <v>141</v>
      </c>
      <c r="C153" s="41">
        <v>1</v>
      </c>
      <c r="D153" s="86" t="s">
        <v>866</v>
      </c>
      <c r="E153" s="80"/>
      <c r="F153" s="5" t="s">
        <v>867</v>
      </c>
      <c r="L153" s="306" t="s">
        <v>163</v>
      </c>
      <c r="M153" s="282" t="s">
        <v>163</v>
      </c>
      <c r="N153" s="291" t="s">
        <v>163</v>
      </c>
      <c r="O153" s="291" t="s">
        <v>163</v>
      </c>
      <c r="P153" s="291" t="s">
        <v>163</v>
      </c>
      <c r="Q153" s="291" t="s">
        <v>163</v>
      </c>
      <c r="R153" s="279" t="s">
        <v>163</v>
      </c>
      <c r="S153" s="279" t="s">
        <v>163</v>
      </c>
      <c r="T153" s="291" t="s">
        <v>163</v>
      </c>
      <c r="U153" s="279" t="s">
        <v>163</v>
      </c>
      <c r="V153" s="279" t="s">
        <v>163</v>
      </c>
      <c r="W153" s="291" t="s">
        <v>163</v>
      </c>
      <c r="X153" s="279" t="s">
        <v>163</v>
      </c>
      <c r="Y153" s="279" t="s">
        <v>163</v>
      </c>
      <c r="Z153" s="279" t="s">
        <v>163</v>
      </c>
      <c r="AA153" s="279" t="s">
        <v>163</v>
      </c>
      <c r="AB153" s="279" t="s">
        <v>163</v>
      </c>
      <c r="AC153" s="279" t="s">
        <v>163</v>
      </c>
      <c r="AD153" s="279" t="s">
        <v>163</v>
      </c>
      <c r="AE153" s="280" t="s">
        <v>163</v>
      </c>
      <c r="AF153" s="291" t="s">
        <v>163</v>
      </c>
      <c r="AG153" s="279" t="s">
        <v>163</v>
      </c>
      <c r="AH153" s="279" t="s">
        <v>163</v>
      </c>
      <c r="AI153" s="279" t="s">
        <v>163</v>
      </c>
      <c r="AJ153" s="279" t="s">
        <v>163</v>
      </c>
      <c r="AK153" s="279" t="s">
        <v>163</v>
      </c>
      <c r="AL153" s="279" t="s">
        <v>163</v>
      </c>
      <c r="AM153" s="279" t="s">
        <v>163</v>
      </c>
      <c r="AN153" s="279" t="s">
        <v>163</v>
      </c>
      <c r="AO153" s="279" t="s">
        <v>163</v>
      </c>
      <c r="AP153" s="279" t="s">
        <v>163</v>
      </c>
      <c r="AQ153" s="279" t="s">
        <v>163</v>
      </c>
      <c r="AR153" s="279" t="s">
        <v>163</v>
      </c>
      <c r="AS153" s="279" t="s">
        <v>163</v>
      </c>
      <c r="AT153" s="279" t="s">
        <v>163</v>
      </c>
    </row>
    <row r="154" spans="1:46">
      <c r="A154" s="5" t="s">
        <v>142</v>
      </c>
      <c r="C154" s="41">
        <v>1</v>
      </c>
      <c r="D154" s="5" t="s">
        <v>868</v>
      </c>
      <c r="L154" s="306" t="s">
        <v>163</v>
      </c>
      <c r="M154" s="282" t="s">
        <v>163</v>
      </c>
      <c r="N154" s="291" t="s">
        <v>163</v>
      </c>
      <c r="O154" s="291" t="s">
        <v>163</v>
      </c>
      <c r="P154" s="291" t="s">
        <v>163</v>
      </c>
      <c r="Q154" s="291" t="s">
        <v>163</v>
      </c>
      <c r="R154" s="279" t="s">
        <v>163</v>
      </c>
      <c r="S154" s="279" t="s">
        <v>163</v>
      </c>
      <c r="T154" s="291" t="s">
        <v>163</v>
      </c>
      <c r="U154" s="279" t="s">
        <v>163</v>
      </c>
      <c r="V154" s="279" t="s">
        <v>163</v>
      </c>
      <c r="W154" s="291" t="s">
        <v>163</v>
      </c>
      <c r="X154" s="279" t="s">
        <v>163</v>
      </c>
      <c r="Y154" s="279" t="s">
        <v>163</v>
      </c>
      <c r="Z154" s="279" t="s">
        <v>163</v>
      </c>
      <c r="AA154" s="279" t="s">
        <v>163</v>
      </c>
      <c r="AB154" s="279" t="s">
        <v>163</v>
      </c>
      <c r="AC154" s="279" t="s">
        <v>163</v>
      </c>
      <c r="AD154" s="279" t="s">
        <v>163</v>
      </c>
      <c r="AE154" s="280" t="s">
        <v>163</v>
      </c>
      <c r="AF154" s="291" t="s">
        <v>163</v>
      </c>
      <c r="AG154" s="279" t="s">
        <v>163</v>
      </c>
      <c r="AH154" s="279" t="s">
        <v>163</v>
      </c>
      <c r="AI154" s="279" t="s">
        <v>163</v>
      </c>
      <c r="AJ154" s="279" t="s">
        <v>163</v>
      </c>
      <c r="AK154" s="279" t="s">
        <v>163</v>
      </c>
      <c r="AL154" s="279" t="s">
        <v>163</v>
      </c>
      <c r="AM154" s="279" t="s">
        <v>163</v>
      </c>
      <c r="AN154" s="279" t="s">
        <v>163</v>
      </c>
      <c r="AO154" s="279" t="s">
        <v>163</v>
      </c>
      <c r="AP154" s="279" t="s">
        <v>163</v>
      </c>
      <c r="AQ154" s="279" t="s">
        <v>163</v>
      </c>
      <c r="AR154" s="279" t="s">
        <v>163</v>
      </c>
      <c r="AS154" s="279" t="s">
        <v>163</v>
      </c>
      <c r="AT154" s="279" t="s">
        <v>163</v>
      </c>
    </row>
    <row r="155" spans="1:46">
      <c r="A155" s="57"/>
      <c r="B155" s="57"/>
      <c r="C155" s="59"/>
      <c r="L155" s="291" t="s">
        <v>163</v>
      </c>
      <c r="M155" s="282" t="s">
        <v>163</v>
      </c>
      <c r="N155" s="291" t="s">
        <v>163</v>
      </c>
      <c r="O155" s="291" t="s">
        <v>163</v>
      </c>
      <c r="P155" s="291" t="s">
        <v>163</v>
      </c>
      <c r="Q155" s="291" t="s">
        <v>163</v>
      </c>
      <c r="R155" s="279" t="s">
        <v>163</v>
      </c>
      <c r="S155" s="279" t="s">
        <v>163</v>
      </c>
      <c r="T155" s="291" t="s">
        <v>163</v>
      </c>
      <c r="U155" s="279" t="s">
        <v>163</v>
      </c>
      <c r="V155" s="279" t="s">
        <v>163</v>
      </c>
      <c r="W155" s="291" t="s">
        <v>163</v>
      </c>
      <c r="X155" s="279" t="s">
        <v>163</v>
      </c>
      <c r="Y155" s="279" t="s">
        <v>163</v>
      </c>
      <c r="Z155" s="279" t="s">
        <v>163</v>
      </c>
      <c r="AA155" s="279" t="s">
        <v>163</v>
      </c>
      <c r="AB155" s="279" t="s">
        <v>163</v>
      </c>
      <c r="AC155" s="279" t="s">
        <v>163</v>
      </c>
      <c r="AD155" s="279" t="s">
        <v>163</v>
      </c>
      <c r="AE155" s="280" t="s">
        <v>163</v>
      </c>
      <c r="AF155" s="291" t="s">
        <v>163</v>
      </c>
      <c r="AG155" s="279" t="s">
        <v>163</v>
      </c>
      <c r="AH155" s="279" t="s">
        <v>163</v>
      </c>
      <c r="AI155" s="279" t="s">
        <v>163</v>
      </c>
      <c r="AJ155" s="279" t="s">
        <v>163</v>
      </c>
      <c r="AK155" s="279" t="s">
        <v>163</v>
      </c>
      <c r="AL155" s="279" t="s">
        <v>163</v>
      </c>
      <c r="AM155" s="279" t="s">
        <v>163</v>
      </c>
      <c r="AN155" s="279" t="s">
        <v>163</v>
      </c>
      <c r="AO155" s="279" t="s">
        <v>163</v>
      </c>
      <c r="AP155" s="279" t="s">
        <v>163</v>
      </c>
      <c r="AQ155" s="279" t="s">
        <v>163</v>
      </c>
      <c r="AR155" s="279" t="s">
        <v>163</v>
      </c>
      <c r="AS155" s="279" t="s">
        <v>163</v>
      </c>
      <c r="AT155" s="279" t="s">
        <v>163</v>
      </c>
    </row>
    <row r="156" spans="1:46" ht="45.75">
      <c r="A156" s="57" t="s">
        <v>143</v>
      </c>
      <c r="B156" s="57"/>
      <c r="C156" s="59">
        <v>1</v>
      </c>
      <c r="D156" s="5" t="s">
        <v>266</v>
      </c>
      <c r="F156" s="5" t="s">
        <v>869</v>
      </c>
      <c r="G156" s="55" t="s">
        <v>486</v>
      </c>
      <c r="L156" s="282" t="s">
        <v>163</v>
      </c>
      <c r="M156" s="282" t="s">
        <v>163</v>
      </c>
      <c r="N156" s="291" t="s">
        <v>163</v>
      </c>
      <c r="O156" s="291" t="s">
        <v>163</v>
      </c>
      <c r="P156" s="291" t="s">
        <v>163</v>
      </c>
      <c r="Q156" s="291" t="s">
        <v>163</v>
      </c>
      <c r="R156" s="279" t="s">
        <v>163</v>
      </c>
      <c r="S156" s="279" t="s">
        <v>163</v>
      </c>
      <c r="T156" s="291" t="s">
        <v>163</v>
      </c>
      <c r="U156" s="279" t="s">
        <v>163</v>
      </c>
      <c r="V156" s="279" t="s">
        <v>163</v>
      </c>
      <c r="W156" s="291" t="s">
        <v>163</v>
      </c>
      <c r="X156" s="279" t="s">
        <v>163</v>
      </c>
      <c r="Y156" s="279" t="s">
        <v>163</v>
      </c>
      <c r="Z156" s="279" t="s">
        <v>163</v>
      </c>
      <c r="AA156" s="279" t="s">
        <v>163</v>
      </c>
      <c r="AB156" s="279" t="s">
        <v>163</v>
      </c>
      <c r="AC156" s="279" t="s">
        <v>163</v>
      </c>
      <c r="AD156" s="279" t="s">
        <v>163</v>
      </c>
      <c r="AE156" s="280" t="s">
        <v>163</v>
      </c>
      <c r="AF156" s="291" t="s">
        <v>163</v>
      </c>
      <c r="AG156" s="279" t="s">
        <v>163</v>
      </c>
      <c r="AH156" s="279" t="s">
        <v>163</v>
      </c>
      <c r="AI156" s="279" t="s">
        <v>163</v>
      </c>
      <c r="AJ156" s="279" t="s">
        <v>163</v>
      </c>
      <c r="AK156" s="279" t="s">
        <v>163</v>
      </c>
      <c r="AL156" s="279" t="s">
        <v>163</v>
      </c>
      <c r="AM156" s="279" t="s">
        <v>163</v>
      </c>
      <c r="AN156" s="279" t="s">
        <v>163</v>
      </c>
      <c r="AO156" s="279" t="s">
        <v>163</v>
      </c>
      <c r="AP156" s="279" t="s">
        <v>163</v>
      </c>
      <c r="AQ156" s="279" t="s">
        <v>163</v>
      </c>
      <c r="AR156" s="279" t="s">
        <v>163</v>
      </c>
      <c r="AS156" s="279" t="s">
        <v>163</v>
      </c>
      <c r="AT156" s="279" t="s">
        <v>163</v>
      </c>
    </row>
    <row r="157" spans="1:46">
      <c r="A157" s="57"/>
      <c r="B157" s="57"/>
      <c r="C157" s="59"/>
      <c r="L157" s="291" t="s">
        <v>163</v>
      </c>
      <c r="M157" s="282" t="s">
        <v>163</v>
      </c>
      <c r="N157" s="291" t="s">
        <v>163</v>
      </c>
      <c r="O157" s="291" t="s">
        <v>163</v>
      </c>
      <c r="P157" s="291" t="s">
        <v>163</v>
      </c>
      <c r="Q157" s="291" t="s">
        <v>163</v>
      </c>
      <c r="R157" s="279" t="s">
        <v>163</v>
      </c>
      <c r="S157" s="279" t="s">
        <v>163</v>
      </c>
      <c r="T157" s="291" t="s">
        <v>163</v>
      </c>
      <c r="U157" s="279" t="s">
        <v>163</v>
      </c>
      <c r="V157" s="279" t="s">
        <v>163</v>
      </c>
      <c r="W157" s="291" t="s">
        <v>163</v>
      </c>
      <c r="X157" s="279" t="s">
        <v>163</v>
      </c>
      <c r="Y157" s="279" t="s">
        <v>163</v>
      </c>
      <c r="Z157" s="279" t="s">
        <v>163</v>
      </c>
      <c r="AA157" s="279" t="s">
        <v>163</v>
      </c>
      <c r="AB157" s="279" t="s">
        <v>163</v>
      </c>
      <c r="AC157" s="279" t="s">
        <v>163</v>
      </c>
      <c r="AD157" s="279" t="s">
        <v>163</v>
      </c>
      <c r="AE157" s="280" t="s">
        <v>163</v>
      </c>
      <c r="AF157" s="291" t="s">
        <v>163</v>
      </c>
      <c r="AG157" s="279" t="s">
        <v>163</v>
      </c>
      <c r="AH157" s="279" t="s">
        <v>163</v>
      </c>
      <c r="AI157" s="279" t="s">
        <v>163</v>
      </c>
      <c r="AJ157" s="279" t="s">
        <v>163</v>
      </c>
      <c r="AK157" s="279" t="s">
        <v>163</v>
      </c>
      <c r="AL157" s="279" t="s">
        <v>163</v>
      </c>
      <c r="AM157" s="279" t="s">
        <v>163</v>
      </c>
      <c r="AN157" s="279" t="s">
        <v>163</v>
      </c>
      <c r="AO157" s="279" t="s">
        <v>163</v>
      </c>
      <c r="AP157" s="279" t="s">
        <v>163</v>
      </c>
      <c r="AQ157" s="279" t="s">
        <v>163</v>
      </c>
      <c r="AR157" s="279" t="s">
        <v>163</v>
      </c>
      <c r="AS157" s="279" t="s">
        <v>163</v>
      </c>
      <c r="AT157" s="279" t="s">
        <v>163</v>
      </c>
    </row>
    <row r="158" spans="1:46" ht="30.75">
      <c r="A158" s="57" t="s">
        <v>144</v>
      </c>
      <c r="B158" s="57"/>
      <c r="C158" s="59">
        <v>1</v>
      </c>
      <c r="D158" s="5" t="s">
        <v>266</v>
      </c>
      <c r="F158" s="5" t="s">
        <v>870</v>
      </c>
      <c r="L158" s="291" t="s">
        <v>163</v>
      </c>
      <c r="M158" s="282" t="s">
        <v>163</v>
      </c>
      <c r="N158" s="291" t="s">
        <v>163</v>
      </c>
      <c r="O158" s="291" t="s">
        <v>163</v>
      </c>
      <c r="P158" s="291" t="s">
        <v>163</v>
      </c>
      <c r="Q158" s="291" t="s">
        <v>163</v>
      </c>
      <c r="R158" s="279" t="s">
        <v>163</v>
      </c>
      <c r="S158" s="279" t="s">
        <v>163</v>
      </c>
      <c r="T158" s="291" t="s">
        <v>163</v>
      </c>
      <c r="U158" s="279" t="s">
        <v>163</v>
      </c>
      <c r="V158" s="279" t="s">
        <v>163</v>
      </c>
      <c r="W158" s="291" t="s">
        <v>163</v>
      </c>
      <c r="X158" s="279" t="s">
        <v>163</v>
      </c>
      <c r="Y158" s="279" t="s">
        <v>163</v>
      </c>
      <c r="Z158" s="279" t="s">
        <v>163</v>
      </c>
      <c r="AA158" s="279" t="s">
        <v>163</v>
      </c>
      <c r="AB158" s="279" t="s">
        <v>163</v>
      </c>
      <c r="AC158" s="279" t="s">
        <v>163</v>
      </c>
      <c r="AD158" s="279" t="s">
        <v>163</v>
      </c>
      <c r="AE158" s="280" t="s">
        <v>163</v>
      </c>
      <c r="AF158" s="291" t="s">
        <v>163</v>
      </c>
      <c r="AG158" s="279" t="s">
        <v>163</v>
      </c>
      <c r="AH158" s="279" t="s">
        <v>163</v>
      </c>
      <c r="AI158" s="279" t="s">
        <v>163</v>
      </c>
      <c r="AJ158" s="279" t="s">
        <v>163</v>
      </c>
      <c r="AK158" s="279" t="s">
        <v>163</v>
      </c>
      <c r="AL158" s="279" t="s">
        <v>163</v>
      </c>
      <c r="AM158" s="279" t="s">
        <v>163</v>
      </c>
      <c r="AN158" s="279" t="s">
        <v>163</v>
      </c>
      <c r="AO158" s="279" t="s">
        <v>163</v>
      </c>
      <c r="AP158" s="279" t="s">
        <v>163</v>
      </c>
      <c r="AQ158" s="279" t="s">
        <v>163</v>
      </c>
      <c r="AR158" s="279" t="s">
        <v>163</v>
      </c>
      <c r="AS158" s="279" t="s">
        <v>163</v>
      </c>
      <c r="AT158" s="279" t="s">
        <v>163</v>
      </c>
    </row>
    <row r="159" spans="1:46" ht="60.75">
      <c r="A159" s="57"/>
      <c r="B159" s="57"/>
      <c r="C159" s="59"/>
      <c r="L159" s="282" t="s">
        <v>163</v>
      </c>
      <c r="M159" s="329" t="s">
        <v>871</v>
      </c>
      <c r="N159" s="291" t="s">
        <v>163</v>
      </c>
      <c r="O159" s="291" t="s">
        <v>163</v>
      </c>
      <c r="P159" s="291" t="s">
        <v>163</v>
      </c>
      <c r="Q159" s="291" t="s">
        <v>163</v>
      </c>
      <c r="R159" s="279" t="s">
        <v>163</v>
      </c>
      <c r="S159" s="279" t="s">
        <v>163</v>
      </c>
      <c r="T159" s="291" t="s">
        <v>163</v>
      </c>
      <c r="U159" s="279" t="s">
        <v>163</v>
      </c>
      <c r="V159" s="279" t="s">
        <v>163</v>
      </c>
      <c r="W159" s="291" t="s">
        <v>163</v>
      </c>
      <c r="X159" s="279" t="s">
        <v>163</v>
      </c>
      <c r="Y159" s="279" t="s">
        <v>163</v>
      </c>
      <c r="Z159" s="279" t="s">
        <v>163</v>
      </c>
      <c r="AA159" s="279" t="s">
        <v>163</v>
      </c>
      <c r="AB159" s="279" t="s">
        <v>163</v>
      </c>
      <c r="AC159" s="279" t="s">
        <v>163</v>
      </c>
      <c r="AD159" s="279" t="s">
        <v>163</v>
      </c>
      <c r="AE159" s="280" t="s">
        <v>163</v>
      </c>
      <c r="AF159" s="291" t="s">
        <v>163</v>
      </c>
      <c r="AG159" s="279" t="s">
        <v>163</v>
      </c>
      <c r="AH159" s="279" t="s">
        <v>163</v>
      </c>
      <c r="AI159" s="279" t="s">
        <v>163</v>
      </c>
      <c r="AJ159" s="279" t="s">
        <v>163</v>
      </c>
      <c r="AK159" s="279" t="s">
        <v>163</v>
      </c>
      <c r="AL159" s="279" t="s">
        <v>163</v>
      </c>
      <c r="AM159" s="279" t="s">
        <v>163</v>
      </c>
      <c r="AN159" s="279" t="s">
        <v>163</v>
      </c>
      <c r="AO159" s="279" t="s">
        <v>163</v>
      </c>
      <c r="AP159" s="279" t="s">
        <v>163</v>
      </c>
      <c r="AQ159" s="279" t="s">
        <v>163</v>
      </c>
      <c r="AR159" s="279" t="s">
        <v>163</v>
      </c>
      <c r="AS159" s="279" t="s">
        <v>163</v>
      </c>
      <c r="AT159" s="279" t="s">
        <v>163</v>
      </c>
    </row>
    <row r="160" spans="1:46" ht="30.75">
      <c r="A160" s="57" t="s">
        <v>145</v>
      </c>
      <c r="B160" s="57"/>
      <c r="C160" s="59">
        <v>1</v>
      </c>
      <c r="D160" s="5" t="s">
        <v>872</v>
      </c>
      <c r="E160" s="80">
        <v>3.472222222222222E-3</v>
      </c>
      <c r="F160" s="5" t="s">
        <v>873</v>
      </c>
      <c r="L160" s="321" t="s">
        <v>163</v>
      </c>
      <c r="M160" s="308" t="s">
        <v>874</v>
      </c>
      <c r="N160" s="291" t="s">
        <v>163</v>
      </c>
      <c r="O160" s="291" t="s">
        <v>163</v>
      </c>
      <c r="P160" s="291" t="s">
        <v>163</v>
      </c>
      <c r="Q160" s="291" t="s">
        <v>163</v>
      </c>
      <c r="R160" s="279" t="s">
        <v>163</v>
      </c>
      <c r="S160" s="279" t="s">
        <v>163</v>
      </c>
      <c r="T160" s="291" t="s">
        <v>163</v>
      </c>
      <c r="U160" s="279" t="s">
        <v>163</v>
      </c>
      <c r="V160" s="279" t="s">
        <v>163</v>
      </c>
      <c r="W160" s="291" t="s">
        <v>163</v>
      </c>
      <c r="X160" s="279" t="s">
        <v>163</v>
      </c>
      <c r="Y160" s="279" t="s">
        <v>163</v>
      </c>
      <c r="Z160" s="279" t="s">
        <v>163</v>
      </c>
      <c r="AA160" s="279" t="s">
        <v>163</v>
      </c>
      <c r="AB160" s="279" t="s">
        <v>163</v>
      </c>
      <c r="AC160" s="279" t="s">
        <v>163</v>
      </c>
      <c r="AD160" s="279" t="s">
        <v>163</v>
      </c>
      <c r="AE160" s="280" t="s">
        <v>163</v>
      </c>
      <c r="AF160" s="291" t="s">
        <v>163</v>
      </c>
      <c r="AG160" s="279" t="s">
        <v>163</v>
      </c>
      <c r="AH160" s="279" t="s">
        <v>163</v>
      </c>
      <c r="AI160" s="279" t="s">
        <v>163</v>
      </c>
      <c r="AJ160" s="279" t="s">
        <v>163</v>
      </c>
      <c r="AK160" s="279" t="s">
        <v>163</v>
      </c>
      <c r="AL160" s="279" t="s">
        <v>163</v>
      </c>
      <c r="AM160" s="279" t="s">
        <v>163</v>
      </c>
      <c r="AN160" s="279" t="s">
        <v>163</v>
      </c>
      <c r="AO160" s="279" t="s">
        <v>163</v>
      </c>
      <c r="AP160" s="279" t="s">
        <v>163</v>
      </c>
      <c r="AQ160" s="279" t="s">
        <v>163</v>
      </c>
      <c r="AR160" s="279" t="s">
        <v>163</v>
      </c>
      <c r="AS160" s="279" t="s">
        <v>163</v>
      </c>
      <c r="AT160" s="279" t="s">
        <v>163</v>
      </c>
    </row>
    <row r="161" spans="1:46">
      <c r="A161" s="57"/>
      <c r="B161" s="57"/>
      <c r="C161" s="59"/>
      <c r="L161" s="282" t="s">
        <v>163</v>
      </c>
      <c r="M161" s="282" t="s">
        <v>163</v>
      </c>
      <c r="N161" s="291" t="s">
        <v>163</v>
      </c>
      <c r="O161" s="291" t="s">
        <v>163</v>
      </c>
      <c r="P161" s="291" t="s">
        <v>163</v>
      </c>
      <c r="Q161" s="291" t="s">
        <v>163</v>
      </c>
      <c r="R161" s="279" t="s">
        <v>163</v>
      </c>
      <c r="S161" s="279" t="s">
        <v>163</v>
      </c>
      <c r="T161" s="291" t="s">
        <v>163</v>
      </c>
      <c r="U161" s="279" t="s">
        <v>163</v>
      </c>
      <c r="V161" s="279" t="s">
        <v>163</v>
      </c>
      <c r="W161" s="291" t="s">
        <v>163</v>
      </c>
      <c r="X161" s="279" t="s">
        <v>163</v>
      </c>
      <c r="Y161" s="279" t="s">
        <v>163</v>
      </c>
      <c r="Z161" s="279" t="s">
        <v>163</v>
      </c>
      <c r="AA161" s="279" t="s">
        <v>163</v>
      </c>
      <c r="AB161" s="279" t="s">
        <v>163</v>
      </c>
      <c r="AC161" s="279" t="s">
        <v>163</v>
      </c>
      <c r="AD161" s="279" t="s">
        <v>163</v>
      </c>
      <c r="AE161" s="280" t="s">
        <v>163</v>
      </c>
      <c r="AF161" s="291" t="s">
        <v>163</v>
      </c>
      <c r="AG161" s="279" t="s">
        <v>163</v>
      </c>
      <c r="AH161" s="279" t="s">
        <v>163</v>
      </c>
      <c r="AI161" s="279" t="s">
        <v>163</v>
      </c>
      <c r="AJ161" s="279" t="s">
        <v>163</v>
      </c>
      <c r="AK161" s="279" t="s">
        <v>163</v>
      </c>
      <c r="AL161" s="279" t="s">
        <v>163</v>
      </c>
      <c r="AM161" s="279" t="s">
        <v>163</v>
      </c>
      <c r="AN161" s="279" t="s">
        <v>163</v>
      </c>
      <c r="AO161" s="279" t="s">
        <v>163</v>
      </c>
      <c r="AP161" s="279" t="s">
        <v>163</v>
      </c>
      <c r="AQ161" s="279" t="s">
        <v>163</v>
      </c>
      <c r="AR161" s="279" t="s">
        <v>163</v>
      </c>
      <c r="AS161" s="279" t="s">
        <v>163</v>
      </c>
      <c r="AT161" s="279" t="s">
        <v>163</v>
      </c>
    </row>
    <row r="162" spans="1:46" ht="45">
      <c r="A162" s="57" t="s">
        <v>146</v>
      </c>
      <c r="B162" s="57"/>
      <c r="C162" s="59">
        <v>1</v>
      </c>
      <c r="D162" s="5" t="s">
        <v>875</v>
      </c>
      <c r="E162" s="80">
        <v>8.3333333333333329E-2</v>
      </c>
      <c r="F162" s="5" t="s">
        <v>876</v>
      </c>
      <c r="G162" s="52" t="s">
        <v>486</v>
      </c>
    </row>
    <row r="163" spans="1:46">
      <c r="A163" s="57"/>
      <c r="B163" s="57"/>
      <c r="C163" s="59"/>
    </row>
    <row r="164" spans="1:46" s="2" customFormat="1" ht="105">
      <c r="A164" s="2" t="s">
        <v>147</v>
      </c>
      <c r="C164" s="3">
        <v>1</v>
      </c>
      <c r="D164" s="2" t="s">
        <v>877</v>
      </c>
      <c r="E164" s="35"/>
      <c r="F164" s="2" t="s">
        <v>878</v>
      </c>
    </row>
    <row r="165" spans="1:46" s="2" customFormat="1" ht="105">
      <c r="A165" s="2" t="s">
        <v>148</v>
      </c>
      <c r="C165" s="3">
        <v>1</v>
      </c>
      <c r="D165" s="2" t="s">
        <v>877</v>
      </c>
      <c r="E165" s="35"/>
      <c r="F165" s="2" t="s">
        <v>878</v>
      </c>
    </row>
    <row r="166" spans="1:46">
      <c r="A166" s="57"/>
      <c r="B166" s="57"/>
      <c r="C166" s="59"/>
    </row>
    <row r="167" spans="1:46" ht="30">
      <c r="A167" s="57" t="s">
        <v>149</v>
      </c>
      <c r="B167" s="57"/>
      <c r="C167" s="59">
        <v>1</v>
      </c>
      <c r="D167" s="5" t="s">
        <v>879</v>
      </c>
      <c r="F167" s="5" t="s">
        <v>880</v>
      </c>
      <c r="G167" s="55" t="s">
        <v>486</v>
      </c>
    </row>
    <row r="168" spans="1:46" ht="60">
      <c r="A168" s="57" t="s">
        <v>150</v>
      </c>
      <c r="B168" s="57"/>
      <c r="C168" s="59">
        <v>1</v>
      </c>
      <c r="D168" s="5" t="s">
        <v>879</v>
      </c>
      <c r="F168" s="5" t="s">
        <v>881</v>
      </c>
      <c r="G168" s="55" t="s">
        <v>882</v>
      </c>
    </row>
    <row r="169" spans="1:46" ht="45">
      <c r="A169" s="57" t="s">
        <v>151</v>
      </c>
      <c r="B169" s="57"/>
      <c r="C169" s="59">
        <v>1</v>
      </c>
      <c r="D169" s="5" t="s">
        <v>879</v>
      </c>
      <c r="F169" s="5" t="s">
        <v>883</v>
      </c>
      <c r="G169" s="55" t="s">
        <v>486</v>
      </c>
    </row>
    <row r="170" spans="1:46" ht="60.75" thickBot="1">
      <c r="A170" s="57" t="s">
        <v>152</v>
      </c>
      <c r="B170" s="57"/>
      <c r="C170" s="59">
        <v>1</v>
      </c>
      <c r="D170" s="5" t="s">
        <v>884</v>
      </c>
      <c r="E170" s="78" t="s">
        <v>885</v>
      </c>
      <c r="F170" s="5" t="s">
        <v>886</v>
      </c>
      <c r="G170" s="53" t="s">
        <v>887</v>
      </c>
    </row>
    <row r="171" spans="1:46" ht="135.75" thickBot="1">
      <c r="A171" s="57" t="s">
        <v>153</v>
      </c>
      <c r="B171" s="57"/>
      <c r="C171" s="59">
        <v>1</v>
      </c>
      <c r="D171" s="79" t="s">
        <v>888</v>
      </c>
      <c r="E171" s="80">
        <v>0.70833333333333337</v>
      </c>
      <c r="F171" s="5" t="s">
        <v>889</v>
      </c>
      <c r="G171" s="53" t="s">
        <v>890</v>
      </c>
    </row>
    <row r="172" spans="1:46" ht="60.75" thickBot="1">
      <c r="A172" s="57" t="s">
        <v>154</v>
      </c>
      <c r="B172" s="57"/>
      <c r="C172" s="59">
        <v>1</v>
      </c>
      <c r="D172" s="79" t="s">
        <v>891</v>
      </c>
      <c r="E172" s="80">
        <v>0.70833333333333337</v>
      </c>
      <c r="F172" s="5" t="s">
        <v>892</v>
      </c>
      <c r="G172" s="53" t="s">
        <v>486</v>
      </c>
    </row>
    <row r="173" spans="1:46" ht="45.75" thickBot="1">
      <c r="A173" s="57" t="s">
        <v>155</v>
      </c>
      <c r="B173" s="57"/>
      <c r="C173" s="59">
        <v>1</v>
      </c>
      <c r="D173" s="79" t="s">
        <v>893</v>
      </c>
      <c r="E173" s="80">
        <v>0.70833333333333337</v>
      </c>
      <c r="F173" s="5" t="s">
        <v>894</v>
      </c>
      <c r="G173" s="54" t="s">
        <v>895</v>
      </c>
    </row>
    <row r="174" spans="1:46" ht="135">
      <c r="A174" s="5" t="s">
        <v>156</v>
      </c>
      <c r="C174" s="41">
        <v>1</v>
      </c>
      <c r="D174" s="5" t="s">
        <v>896</v>
      </c>
      <c r="E174" s="80">
        <v>0.70833333333333337</v>
      </c>
      <c r="F174" s="5" t="s">
        <v>823</v>
      </c>
      <c r="G174" s="54" t="s">
        <v>824</v>
      </c>
    </row>
    <row r="175" spans="1:46" ht="120">
      <c r="A175" s="5" t="s">
        <v>157</v>
      </c>
      <c r="C175" s="41">
        <v>1</v>
      </c>
      <c r="D175" s="5" t="s">
        <v>829</v>
      </c>
      <c r="E175" s="80">
        <v>0.70833333333333337</v>
      </c>
      <c r="F175" s="5" t="s">
        <v>830</v>
      </c>
      <c r="G175" s="53" t="s">
        <v>831</v>
      </c>
    </row>
    <row r="176" spans="1:46" ht="60.75" thickBot="1">
      <c r="A176" s="5" t="s">
        <v>158</v>
      </c>
      <c r="C176" s="41">
        <v>1</v>
      </c>
      <c r="D176" s="5" t="s">
        <v>836</v>
      </c>
      <c r="E176" s="80">
        <v>0.70833333333333337</v>
      </c>
      <c r="F176" s="5" t="s">
        <v>837</v>
      </c>
      <c r="G176" s="53" t="s">
        <v>831</v>
      </c>
    </row>
    <row r="177" spans="1:7" ht="120.75" thickBot="1">
      <c r="A177" s="5" t="s">
        <v>159</v>
      </c>
      <c r="C177" s="41">
        <v>1</v>
      </c>
      <c r="D177" s="5" t="s">
        <v>842</v>
      </c>
      <c r="E177" s="85">
        <v>0.70833333333333337</v>
      </c>
      <c r="F177" s="5" t="s">
        <v>843</v>
      </c>
      <c r="G177" s="54" t="s">
        <v>844</v>
      </c>
    </row>
    <row r="178" spans="1:7" s="2" customFormat="1" ht="135.75" thickBot="1">
      <c r="A178" s="2" t="s">
        <v>160</v>
      </c>
      <c r="C178" s="3">
        <v>1</v>
      </c>
      <c r="D178" s="2" t="s">
        <v>897</v>
      </c>
      <c r="E178" s="89">
        <v>0.70833333333333337</v>
      </c>
      <c r="F178" s="2" t="s">
        <v>849</v>
      </c>
    </row>
    <row r="179" spans="1:7">
      <c r="E179" s="87"/>
    </row>
    <row r="180" spans="1:7" ht="30">
      <c r="A180" s="5" t="s">
        <v>161</v>
      </c>
      <c r="C180" s="41">
        <v>1</v>
      </c>
      <c r="D180" s="5" t="s">
        <v>641</v>
      </c>
      <c r="F180" s="5" t="s">
        <v>898</v>
      </c>
    </row>
    <row r="183" spans="1:7">
      <c r="A183" s="5" t="s">
        <v>899</v>
      </c>
    </row>
    <row r="184" spans="1:7">
      <c r="A184" s="2"/>
      <c r="B184" s="2"/>
      <c r="C184" s="3"/>
    </row>
    <row r="185" spans="1:7" ht="45">
      <c r="A185" s="2" t="s">
        <v>900</v>
      </c>
      <c r="B185" s="2"/>
      <c r="C185" s="3"/>
    </row>
    <row r="186" spans="1:7" ht="30">
      <c r="A186" s="35" t="s">
        <v>901</v>
      </c>
      <c r="B186" s="35"/>
      <c r="C186" s="3"/>
    </row>
    <row r="187" spans="1:7" ht="30">
      <c r="A187" s="2" t="s">
        <v>902</v>
      </c>
      <c r="B187" s="2"/>
      <c r="C187" s="3"/>
    </row>
    <row r="189" spans="1:7" ht="60">
      <c r="A189" s="5" t="s">
        <v>903</v>
      </c>
    </row>
    <row r="192" spans="1:7" ht="30">
      <c r="A192" s="5" t="s">
        <v>904</v>
      </c>
    </row>
    <row r="193" spans="1:3">
      <c r="A193" s="68" t="s">
        <v>905</v>
      </c>
      <c r="B193" s="68"/>
      <c r="C193" s="73"/>
    </row>
  </sheetData>
  <autoFilter ref="A2:E12" xr:uid="{5688979A-CA21-4511-9A9A-FF9EFCCA0DE2}">
    <filterColumn colId="1">
      <customFilters>
        <customFilter operator="notEqual" val=" "/>
      </customFilters>
    </filterColumn>
  </autoFilter>
  <sortState xmlns:xlrd2="http://schemas.microsoft.com/office/spreadsheetml/2017/richdata2" ref="A4:E8">
    <sortCondition ref="C4:C8"/>
  </sortState>
  <mergeCells count="1">
    <mergeCell ref="A1:D1"/>
  </mergeCells>
  <hyperlinks>
    <hyperlink ref="A193" r:id="rId1" display="https://amerenprod.service-now.com/asp?id=sc_cat_item&amp;sys_id=67f8629cdbf5d4903b95c443059619c0" xr:uid="{DFEFB44E-BF7D-4317-A3F5-BADC9AA9874F}"/>
    <hyperlink ref="G53" r:id="rId2" xr:uid="{02620E89-1FB0-4822-9409-51C0659D992C}"/>
    <hyperlink ref="G122" r:id="rId3" xr:uid="{D42E2DE1-6E63-4CB2-8D3C-759D01AD3F44}"/>
    <hyperlink ref="I122" r:id="rId4" display="https://wccdevelopment.ameren.com:8443/wcc/quickview/pages/main.jsf?serverName=DVL&amp;displayMode=standalone&amp;AntiXSRFToken=34F00&amp;jobName=TR_RN_Maintain_TR33106N_Trigger_Box&amp;conversationContext=3" xr:uid="{CEB697AF-CE86-454D-BCBC-9D9E23849682}"/>
    <hyperlink ref="I123" r:id="rId5" display="https://wccdevelopment.ameren.com:8443/wcc/quickview/pages/main.jsf?serverName=DVL&amp;displayMode=standalone&amp;AntiXSRFToken=34F00&amp;jobName=TR_RN_Maintain_TR33107_Trigger_Box&amp;conversationContext=3" xr:uid="{FE46CB0E-8D5E-4A22-BFA0-4B11724E9D4B}"/>
    <hyperlink ref="I124" r:id="rId6" display="https://wccdevelopment.ameren.com:8443/wcc/quickview/pages/main.jsf?serverName=DVL&amp;displayMode=standalone&amp;AntiXSRFToken=34F00&amp;jobName=TR_RN_Maintain_TR33102_Trigger_Box&amp;conversationContext=3" xr:uid="{67B66DED-829A-463E-8862-FE856B7FA21A}"/>
    <hyperlink ref="P27" r:id="rId7" xr:uid="{4C2ED17B-8ADA-47BF-80DF-8D12CDC01156}"/>
    <hyperlink ref="P28" r:id="rId8" xr:uid="{8B72245B-2596-499C-9777-3FEED22DAE0F}"/>
    <hyperlink ref="P29" r:id="rId9" xr:uid="{84331F8C-D883-408E-8B77-343C3FEF9D41}"/>
    <hyperlink ref="P35" r:id="rId10" xr:uid="{88303D12-1B6E-4450-BC14-536143A0760B}"/>
    <hyperlink ref="P40" r:id="rId11" xr:uid="{23585951-FC4D-40F4-AC66-0F778546E9B8}"/>
    <hyperlink ref="P51" r:id="rId12" xr:uid="{A5D5ECCC-32DC-4FD9-BADF-870B737B5BDA}"/>
    <hyperlink ref="P52" r:id="rId13" xr:uid="{DD665DAA-AA17-4C24-9C58-86AD4F720F85}"/>
    <hyperlink ref="P53" r:id="rId14" xr:uid="{EF020A04-8B71-4F91-BC5B-8C5DA4204912}"/>
    <hyperlink ref="P54" r:id="rId15" xr:uid="{9DA5E8DD-5865-4042-96C2-567C3F82711E}"/>
    <hyperlink ref="P55" r:id="rId16" xr:uid="{EA3A8B30-91C1-41C9-8FEB-77C474A6B0B6}"/>
    <hyperlink ref="P56" r:id="rId17" xr:uid="{5506BE81-D38E-4B51-A423-978DB099214D}"/>
    <hyperlink ref="P67" r:id="rId18" xr:uid="{E1D916A7-ABDD-47C9-9A3A-5A4152BE73B3}"/>
    <hyperlink ref="P68" r:id="rId19" xr:uid="{D4B2EDA0-B70D-4896-B8F6-8F5D4238E5E6}"/>
    <hyperlink ref="P69" r:id="rId20" xr:uid="{832E032B-62DB-47F5-BA9D-2711FA3382DD}"/>
    <hyperlink ref="P76" r:id="rId21" xr:uid="{E76A085A-F049-4B57-8420-3C9331DE4386}"/>
    <hyperlink ref="P77" r:id="rId22" xr:uid="{A8000496-21C0-4631-8B0C-40C07FDE01EA}"/>
    <hyperlink ref="P78" r:id="rId23" xr:uid="{88E6FCE2-5668-4818-A2E2-05B4F41517EF}"/>
    <hyperlink ref="P79" r:id="rId24" xr:uid="{99B7F909-2467-49B1-84D7-FF894D574779}"/>
    <hyperlink ref="P89" r:id="rId25" xr:uid="{F0783834-D04F-416A-9C20-648E8DDFA5E4}"/>
    <hyperlink ref="P90" r:id="rId26" xr:uid="{964AD1A9-FBD4-441E-B904-3ACC24270561}"/>
    <hyperlink ref="P91" r:id="rId27" xr:uid="{CE134881-1FF2-460D-BA06-8F7F35ED16BB}"/>
    <hyperlink ref="P96" r:id="rId28" xr:uid="{2EADB3A3-F146-412A-BF5D-6562836AE0B1}"/>
    <hyperlink ref="P110" r:id="rId29" xr:uid="{1F0D31AB-3D3E-4A62-B0A0-EF73FC8B5014}"/>
    <hyperlink ref="P114" r:id="rId30" xr:uid="{CB37EC4D-0BB9-4B9B-93DB-D980E8BB5FBA}"/>
    <hyperlink ref="P115" r:id="rId31" xr:uid="{4793CED8-F30D-4046-91BA-E6171F3A8554}"/>
  </hyperlinks>
  <pageMargins left="0.25" right="0.25" top="0.75" bottom="0.75" header="0.3" footer="0.3"/>
  <pageSetup paperSize="5" orientation="portrait"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4B83-46EF-45C2-8981-C0208EAB03EA}">
  <dimension ref="A1:E203"/>
  <sheetViews>
    <sheetView workbookViewId="0">
      <selection activeCell="A5" sqref="A5"/>
    </sheetView>
  </sheetViews>
  <sheetFormatPr defaultRowHeight="15"/>
  <cols>
    <col min="1" max="1" width="61.5703125" bestFit="1" customWidth="1"/>
    <col min="2" max="2" width="36.5703125" bestFit="1" customWidth="1"/>
    <col min="3" max="3" width="5.5703125" bestFit="1" customWidth="1"/>
    <col min="4" max="4" width="63.140625" bestFit="1" customWidth="1"/>
    <col min="5" max="5" width="9.28515625" bestFit="1" customWidth="1"/>
  </cols>
  <sheetData>
    <row r="1" spans="1:5">
      <c r="A1" s="369" t="s">
        <v>162</v>
      </c>
      <c r="B1" s="370"/>
      <c r="C1" s="370"/>
      <c r="D1" s="371"/>
      <c r="E1" s="268" t="s">
        <v>163</v>
      </c>
    </row>
    <row r="2" spans="1:5">
      <c r="A2" s="269" t="s">
        <v>164</v>
      </c>
      <c r="B2" s="270" t="s">
        <v>165</v>
      </c>
      <c r="C2" s="270" t="s">
        <v>166</v>
      </c>
      <c r="D2" s="271" t="s">
        <v>167</v>
      </c>
      <c r="E2" s="270" t="s">
        <v>168</v>
      </c>
    </row>
    <row r="3" spans="1:5">
      <c r="A3" s="272" t="s">
        <v>3</v>
      </c>
      <c r="B3" s="273" t="s">
        <v>163</v>
      </c>
      <c r="C3" s="273" t="s">
        <v>163</v>
      </c>
      <c r="D3" s="273" t="s">
        <v>211</v>
      </c>
      <c r="E3" s="275">
        <v>0.5</v>
      </c>
    </row>
    <row r="4" spans="1:5">
      <c r="A4" s="276" t="s">
        <v>4</v>
      </c>
      <c r="B4" s="273" t="s">
        <v>3</v>
      </c>
      <c r="C4" s="273">
        <v>1</v>
      </c>
      <c r="D4" s="273" t="s">
        <v>163</v>
      </c>
      <c r="E4" s="274" t="s">
        <v>163</v>
      </c>
    </row>
    <row r="5" spans="1:5" ht="60.75">
      <c r="A5" s="272" t="s">
        <v>5</v>
      </c>
      <c r="B5" s="273" t="s">
        <v>3</v>
      </c>
      <c r="C5" s="273">
        <v>2</v>
      </c>
      <c r="D5" s="274" t="s">
        <v>229</v>
      </c>
      <c r="E5" s="274" t="s">
        <v>163</v>
      </c>
    </row>
    <row r="6" spans="1:5">
      <c r="A6" s="272" t="s">
        <v>6</v>
      </c>
      <c r="B6" s="273" t="s">
        <v>3</v>
      </c>
      <c r="C6" s="273">
        <v>3</v>
      </c>
      <c r="D6" s="273" t="s">
        <v>906</v>
      </c>
      <c r="E6" s="274" t="s">
        <v>163</v>
      </c>
    </row>
    <row r="7" spans="1:5" ht="60.75">
      <c r="A7" s="272" t="s">
        <v>7</v>
      </c>
      <c r="B7" s="273" t="s">
        <v>3</v>
      </c>
      <c r="C7" s="273">
        <v>4</v>
      </c>
      <c r="D7" s="274" t="s">
        <v>242</v>
      </c>
      <c r="E7" s="274" t="s">
        <v>163</v>
      </c>
    </row>
    <row r="8" spans="1:5" ht="60.75">
      <c r="A8" s="272" t="s">
        <v>8</v>
      </c>
      <c r="B8" s="273" t="s">
        <v>3</v>
      </c>
      <c r="C8" s="273">
        <v>5</v>
      </c>
      <c r="D8" s="274" t="s">
        <v>248</v>
      </c>
      <c r="E8" s="274" t="s">
        <v>163</v>
      </c>
    </row>
    <row r="9" spans="1:5">
      <c r="A9" s="277" t="s">
        <v>9</v>
      </c>
      <c r="B9" s="273" t="s">
        <v>163</v>
      </c>
      <c r="C9" s="273" t="s">
        <v>163</v>
      </c>
      <c r="D9" s="273" t="s">
        <v>254</v>
      </c>
      <c r="E9" s="275">
        <v>0.25</v>
      </c>
    </row>
    <row r="10" spans="1:5">
      <c r="A10" s="277" t="s">
        <v>10</v>
      </c>
      <c r="B10" s="273" t="s">
        <v>9</v>
      </c>
      <c r="C10" s="273">
        <v>1</v>
      </c>
      <c r="D10" s="273" t="s">
        <v>163</v>
      </c>
      <c r="E10" s="274" t="s">
        <v>163</v>
      </c>
    </row>
    <row r="11" spans="1:5">
      <c r="A11" s="277" t="s">
        <v>11</v>
      </c>
      <c r="B11" s="273" t="s">
        <v>163</v>
      </c>
      <c r="C11" s="273" t="s">
        <v>163</v>
      </c>
      <c r="D11" s="273" t="s">
        <v>258</v>
      </c>
      <c r="E11" s="275">
        <v>0.27083333333333331</v>
      </c>
    </row>
    <row r="12" spans="1:5">
      <c r="A12" s="277" t="s">
        <v>12</v>
      </c>
      <c r="B12" s="273" t="s">
        <v>11</v>
      </c>
      <c r="C12" s="273">
        <v>1</v>
      </c>
      <c r="D12" s="273" t="s">
        <v>163</v>
      </c>
      <c r="E12" s="274" t="s">
        <v>163</v>
      </c>
    </row>
    <row r="13" spans="1:5">
      <c r="A13" s="272" t="s">
        <v>163</v>
      </c>
      <c r="B13" s="273" t="s">
        <v>163</v>
      </c>
      <c r="C13" s="273" t="s">
        <v>163</v>
      </c>
      <c r="D13" s="273" t="s">
        <v>163</v>
      </c>
      <c r="E13" s="274" t="s">
        <v>163</v>
      </c>
    </row>
    <row r="14" spans="1:5">
      <c r="A14" s="277" t="s">
        <v>13</v>
      </c>
      <c r="B14" s="278" t="s">
        <v>163</v>
      </c>
      <c r="C14" s="278" t="s">
        <v>163</v>
      </c>
      <c r="D14" s="279" t="s">
        <v>266</v>
      </c>
      <c r="E14" s="280" t="s">
        <v>163</v>
      </c>
    </row>
    <row r="15" spans="1:5">
      <c r="A15" s="272" t="s">
        <v>14</v>
      </c>
      <c r="B15" s="273" t="s">
        <v>13</v>
      </c>
      <c r="C15" s="273">
        <v>1</v>
      </c>
      <c r="D15" s="279" t="s">
        <v>163</v>
      </c>
      <c r="E15" s="280" t="s">
        <v>163</v>
      </c>
    </row>
    <row r="16" spans="1:5" ht="106.5">
      <c r="A16" s="272" t="s">
        <v>15</v>
      </c>
      <c r="B16" s="273" t="s">
        <v>13</v>
      </c>
      <c r="C16" s="273">
        <v>2</v>
      </c>
      <c r="D16" s="281" t="s">
        <v>276</v>
      </c>
      <c r="E16" s="282" t="s">
        <v>163</v>
      </c>
    </row>
    <row r="17" spans="1:5">
      <c r="A17" s="272" t="s">
        <v>16</v>
      </c>
      <c r="B17" s="273" t="s">
        <v>13</v>
      </c>
      <c r="C17" s="273">
        <v>3</v>
      </c>
      <c r="D17" s="283" t="s">
        <v>907</v>
      </c>
      <c r="E17" s="280" t="s">
        <v>163</v>
      </c>
    </row>
    <row r="18" spans="1:5">
      <c r="A18" s="272" t="s">
        <v>17</v>
      </c>
      <c r="B18" s="273" t="s">
        <v>13</v>
      </c>
      <c r="C18" s="273">
        <v>4</v>
      </c>
      <c r="D18" s="279" t="s">
        <v>296</v>
      </c>
      <c r="E18" s="280" t="s">
        <v>163</v>
      </c>
    </row>
    <row r="19" spans="1:5">
      <c r="A19" s="272" t="s">
        <v>18</v>
      </c>
      <c r="B19" s="273" t="s">
        <v>13</v>
      </c>
      <c r="C19" s="273">
        <v>5</v>
      </c>
      <c r="D19" s="279" t="s">
        <v>302</v>
      </c>
      <c r="E19" s="280" t="s">
        <v>163</v>
      </c>
    </row>
    <row r="20" spans="1:5">
      <c r="A20" s="272" t="s">
        <v>19</v>
      </c>
      <c r="B20" s="273" t="s">
        <v>13</v>
      </c>
      <c r="C20" s="273">
        <v>6</v>
      </c>
      <c r="D20" s="279" t="s">
        <v>307</v>
      </c>
      <c r="E20" s="280" t="s">
        <v>163</v>
      </c>
    </row>
    <row r="21" spans="1:5">
      <c r="A21" s="272" t="s">
        <v>20</v>
      </c>
      <c r="B21" s="273" t="s">
        <v>13</v>
      </c>
      <c r="C21" s="273">
        <v>7</v>
      </c>
      <c r="D21" s="279" t="s">
        <v>312</v>
      </c>
      <c r="E21" s="280" t="s">
        <v>163</v>
      </c>
    </row>
    <row r="22" spans="1:5">
      <c r="A22" s="272" t="s">
        <v>21</v>
      </c>
      <c r="B22" s="273" t="s">
        <v>13</v>
      </c>
      <c r="C22" s="273">
        <v>8</v>
      </c>
      <c r="D22" s="279" t="s">
        <v>307</v>
      </c>
      <c r="E22" s="280" t="s">
        <v>163</v>
      </c>
    </row>
    <row r="23" spans="1:5">
      <c r="A23" s="272" t="s">
        <v>22</v>
      </c>
      <c r="B23" s="273" t="s">
        <v>13</v>
      </c>
      <c r="C23" s="273">
        <v>9</v>
      </c>
      <c r="D23" s="279" t="s">
        <v>326</v>
      </c>
      <c r="E23" s="280" t="s">
        <v>163</v>
      </c>
    </row>
    <row r="24" spans="1:5">
      <c r="A24" s="272" t="s">
        <v>23</v>
      </c>
      <c r="B24" s="273" t="s">
        <v>13</v>
      </c>
      <c r="C24" s="273">
        <v>10</v>
      </c>
      <c r="D24" s="279" t="s">
        <v>333</v>
      </c>
      <c r="E24" s="280" t="s">
        <v>163</v>
      </c>
    </row>
    <row r="25" spans="1:5">
      <c r="A25" s="272" t="s">
        <v>24</v>
      </c>
      <c r="B25" s="273" t="s">
        <v>13</v>
      </c>
      <c r="C25" s="273">
        <v>11</v>
      </c>
      <c r="D25" s="279" t="s">
        <v>338</v>
      </c>
      <c r="E25" s="280" t="s">
        <v>163</v>
      </c>
    </row>
    <row r="26" spans="1:5">
      <c r="A26" s="272" t="s">
        <v>25</v>
      </c>
      <c r="B26" s="273" t="s">
        <v>13</v>
      </c>
      <c r="C26" s="273" t="s">
        <v>348</v>
      </c>
      <c r="D26" s="279" t="s">
        <v>349</v>
      </c>
      <c r="E26" s="280" t="s">
        <v>163</v>
      </c>
    </row>
    <row r="27" spans="1:5">
      <c r="A27" s="272" t="s">
        <v>26</v>
      </c>
      <c r="B27" s="273" t="s">
        <v>13</v>
      </c>
      <c r="C27" s="273" t="s">
        <v>354</v>
      </c>
      <c r="D27" s="279" t="s">
        <v>355</v>
      </c>
      <c r="E27" s="280" t="s">
        <v>163</v>
      </c>
    </row>
    <row r="28" spans="1:5">
      <c r="A28" s="272" t="s">
        <v>27</v>
      </c>
      <c r="B28" s="273" t="s">
        <v>13</v>
      </c>
      <c r="C28" s="273" t="s">
        <v>361</v>
      </c>
      <c r="D28" s="279" t="s">
        <v>362</v>
      </c>
      <c r="E28" s="280" t="s">
        <v>163</v>
      </c>
    </row>
    <row r="29" spans="1:5">
      <c r="A29" s="277" t="s">
        <v>28</v>
      </c>
      <c r="B29" s="273" t="s">
        <v>13</v>
      </c>
      <c r="C29" s="278" t="s">
        <v>367</v>
      </c>
      <c r="D29" s="279" t="s">
        <v>368</v>
      </c>
      <c r="E29" s="280" t="s">
        <v>163</v>
      </c>
    </row>
    <row r="30" spans="1:5">
      <c r="A30" s="272" t="s">
        <v>29</v>
      </c>
      <c r="B30" s="273" t="s">
        <v>13</v>
      </c>
      <c r="C30" s="273" t="s">
        <v>374</v>
      </c>
      <c r="D30" s="279" t="s">
        <v>349</v>
      </c>
      <c r="E30" s="280" t="s">
        <v>163</v>
      </c>
    </row>
    <row r="31" spans="1:5">
      <c r="A31" s="272" t="s">
        <v>163</v>
      </c>
      <c r="B31" s="273" t="s">
        <v>163</v>
      </c>
      <c r="C31" s="273" t="s">
        <v>163</v>
      </c>
      <c r="D31" s="279" t="s">
        <v>163</v>
      </c>
      <c r="E31" s="280" t="s">
        <v>163</v>
      </c>
    </row>
    <row r="32" spans="1:5">
      <c r="A32" s="272" t="s">
        <v>30</v>
      </c>
      <c r="B32" s="273" t="s">
        <v>163</v>
      </c>
      <c r="C32" s="273" t="s">
        <v>163</v>
      </c>
      <c r="D32" s="279" t="s">
        <v>383</v>
      </c>
      <c r="E32" s="280" t="s">
        <v>163</v>
      </c>
    </row>
    <row r="33" spans="1:5">
      <c r="A33" s="272" t="s">
        <v>163</v>
      </c>
      <c r="B33" s="273" t="s">
        <v>163</v>
      </c>
      <c r="C33" s="273" t="s">
        <v>163</v>
      </c>
      <c r="D33" s="279" t="s">
        <v>163</v>
      </c>
      <c r="E33" s="280" t="s">
        <v>163</v>
      </c>
    </row>
    <row r="34" spans="1:5">
      <c r="A34" s="284" t="s">
        <v>31</v>
      </c>
      <c r="B34" s="273" t="s">
        <v>163</v>
      </c>
      <c r="C34" s="279" t="s">
        <v>163</v>
      </c>
      <c r="D34" s="279" t="s">
        <v>163</v>
      </c>
      <c r="E34" s="280" t="s">
        <v>163</v>
      </c>
    </row>
    <row r="35" spans="1:5">
      <c r="A35" s="272" t="s">
        <v>32</v>
      </c>
      <c r="B35" s="273" t="s">
        <v>31</v>
      </c>
      <c r="C35" s="273">
        <v>1</v>
      </c>
      <c r="D35" s="279" t="s">
        <v>395</v>
      </c>
      <c r="E35" s="285">
        <v>4.1666666666666664E-2</v>
      </c>
    </row>
    <row r="36" spans="1:5">
      <c r="A36" s="272" t="s">
        <v>33</v>
      </c>
      <c r="B36" s="273" t="s">
        <v>31</v>
      </c>
      <c r="C36" s="273">
        <v>2</v>
      </c>
      <c r="D36" s="279" t="s">
        <v>401</v>
      </c>
      <c r="E36" s="280" t="s">
        <v>163</v>
      </c>
    </row>
    <row r="37" spans="1:5">
      <c r="A37" s="272" t="s">
        <v>34</v>
      </c>
      <c r="B37" s="273" t="s">
        <v>31</v>
      </c>
      <c r="C37" s="273">
        <v>3</v>
      </c>
      <c r="D37" s="279" t="s">
        <v>407</v>
      </c>
      <c r="E37" s="280" t="s">
        <v>163</v>
      </c>
    </row>
    <row r="38" spans="1:5">
      <c r="A38" s="272" t="s">
        <v>35</v>
      </c>
      <c r="B38" s="273" t="s">
        <v>31</v>
      </c>
      <c r="C38" s="273">
        <v>4</v>
      </c>
      <c r="D38" s="279" t="s">
        <v>412</v>
      </c>
      <c r="E38" s="280" t="s">
        <v>163</v>
      </c>
    </row>
    <row r="39" spans="1:5">
      <c r="A39" s="272" t="s">
        <v>36</v>
      </c>
      <c r="B39" s="273" t="s">
        <v>31</v>
      </c>
      <c r="C39" s="273">
        <v>5</v>
      </c>
      <c r="D39" s="279" t="s">
        <v>417</v>
      </c>
      <c r="E39" s="280" t="s">
        <v>163</v>
      </c>
    </row>
    <row r="40" spans="1:5">
      <c r="A40" s="272" t="s">
        <v>37</v>
      </c>
      <c r="B40" s="273" t="s">
        <v>31</v>
      </c>
      <c r="C40" s="273">
        <v>6</v>
      </c>
      <c r="D40" s="279" t="s">
        <v>419</v>
      </c>
      <c r="E40" s="280" t="s">
        <v>163</v>
      </c>
    </row>
    <row r="41" spans="1:5">
      <c r="A41" s="272" t="s">
        <v>38</v>
      </c>
      <c r="B41" s="273" t="s">
        <v>31</v>
      </c>
      <c r="C41" s="273">
        <v>7</v>
      </c>
      <c r="D41" s="279" t="s">
        <v>423</v>
      </c>
      <c r="E41" s="280" t="s">
        <v>163</v>
      </c>
    </row>
    <row r="42" spans="1:5">
      <c r="A42" s="272" t="s">
        <v>39</v>
      </c>
      <c r="B42" s="273" t="s">
        <v>31</v>
      </c>
      <c r="C42" s="273">
        <v>8</v>
      </c>
      <c r="D42" s="279" t="s">
        <v>426</v>
      </c>
      <c r="E42" s="280" t="s">
        <v>163</v>
      </c>
    </row>
    <row r="43" spans="1:5">
      <c r="A43" s="272" t="s">
        <v>40</v>
      </c>
      <c r="B43" s="273" t="s">
        <v>31</v>
      </c>
      <c r="C43" s="273">
        <v>9</v>
      </c>
      <c r="D43" s="279" t="s">
        <v>429</v>
      </c>
      <c r="E43" s="280" t="s">
        <v>163</v>
      </c>
    </row>
    <row r="44" spans="1:5">
      <c r="A44" s="272" t="s">
        <v>41</v>
      </c>
      <c r="B44" s="273" t="s">
        <v>31</v>
      </c>
      <c r="C44" s="273">
        <v>10</v>
      </c>
      <c r="D44" s="279" t="s">
        <v>433</v>
      </c>
      <c r="E44" s="280" t="s">
        <v>163</v>
      </c>
    </row>
    <row r="45" spans="1:5">
      <c r="A45" s="272" t="s">
        <v>42</v>
      </c>
      <c r="B45" s="273" t="s">
        <v>31</v>
      </c>
      <c r="C45" s="273">
        <v>11</v>
      </c>
      <c r="D45" s="279" t="s">
        <v>437</v>
      </c>
      <c r="E45" s="280" t="s">
        <v>163</v>
      </c>
    </row>
    <row r="46" spans="1:5">
      <c r="A46" s="272" t="s">
        <v>43</v>
      </c>
      <c r="B46" s="273" t="s">
        <v>31</v>
      </c>
      <c r="C46" s="273">
        <v>12</v>
      </c>
      <c r="D46" s="279" t="s">
        <v>441</v>
      </c>
      <c r="E46" s="280" t="s">
        <v>163</v>
      </c>
    </row>
    <row r="47" spans="1:5">
      <c r="A47" s="272" t="s">
        <v>44</v>
      </c>
      <c r="B47" s="273" t="s">
        <v>31</v>
      </c>
      <c r="C47" s="273">
        <v>13</v>
      </c>
      <c r="D47" s="279" t="s">
        <v>444</v>
      </c>
      <c r="E47" s="280" t="s">
        <v>163</v>
      </c>
    </row>
    <row r="48" spans="1:5">
      <c r="A48" s="272" t="s">
        <v>45</v>
      </c>
      <c r="B48" s="273" t="s">
        <v>31</v>
      </c>
      <c r="C48" s="273">
        <v>14</v>
      </c>
      <c r="D48" s="279" t="s">
        <v>448</v>
      </c>
      <c r="E48" s="280" t="s">
        <v>163</v>
      </c>
    </row>
    <row r="49" spans="1:5">
      <c r="A49" s="272" t="s">
        <v>46</v>
      </c>
      <c r="B49" s="273" t="s">
        <v>31</v>
      </c>
      <c r="C49" s="273">
        <v>15</v>
      </c>
      <c r="D49" s="279" t="s">
        <v>452</v>
      </c>
      <c r="E49" s="280" t="s">
        <v>163</v>
      </c>
    </row>
    <row r="50" spans="1:5">
      <c r="A50" s="272" t="s">
        <v>47</v>
      </c>
      <c r="B50" s="273" t="s">
        <v>31</v>
      </c>
      <c r="C50" s="273">
        <v>16</v>
      </c>
      <c r="D50" s="279" t="s">
        <v>456</v>
      </c>
      <c r="E50" s="280" t="s">
        <v>163</v>
      </c>
    </row>
    <row r="51" spans="1:5">
      <c r="A51" s="272" t="s">
        <v>48</v>
      </c>
      <c r="B51" s="273" t="s">
        <v>31</v>
      </c>
      <c r="C51" s="273">
        <v>17</v>
      </c>
      <c r="D51" s="279" t="s">
        <v>461</v>
      </c>
      <c r="E51" s="280" t="s">
        <v>163</v>
      </c>
    </row>
    <row r="52" spans="1:5">
      <c r="A52" s="272" t="s">
        <v>49</v>
      </c>
      <c r="B52" s="273" t="s">
        <v>31</v>
      </c>
      <c r="C52" s="273">
        <v>18</v>
      </c>
      <c r="D52" s="279" t="s">
        <v>466</v>
      </c>
      <c r="E52" s="280" t="s">
        <v>163</v>
      </c>
    </row>
    <row r="53" spans="1:5">
      <c r="A53" s="272" t="s">
        <v>50</v>
      </c>
      <c r="B53" s="273" t="s">
        <v>31</v>
      </c>
      <c r="C53" s="273">
        <v>19</v>
      </c>
      <c r="D53" s="279" t="s">
        <v>470</v>
      </c>
      <c r="E53" s="280" t="s">
        <v>163</v>
      </c>
    </row>
    <row r="54" spans="1:5">
      <c r="A54" s="272" t="s">
        <v>51</v>
      </c>
      <c r="B54" s="273" t="s">
        <v>31</v>
      </c>
      <c r="C54" s="273">
        <v>20</v>
      </c>
      <c r="D54" s="279" t="s">
        <v>475</v>
      </c>
      <c r="E54" s="280" t="s">
        <v>163</v>
      </c>
    </row>
    <row r="55" spans="1:5">
      <c r="A55" s="272" t="s">
        <v>52</v>
      </c>
      <c r="B55" s="273" t="s">
        <v>31</v>
      </c>
      <c r="C55" s="273">
        <v>21</v>
      </c>
      <c r="D55" s="273" t="s">
        <v>480</v>
      </c>
      <c r="E55" s="280" t="s">
        <v>163</v>
      </c>
    </row>
    <row r="56" spans="1:5">
      <c r="A56" s="272" t="s">
        <v>53</v>
      </c>
      <c r="B56" s="273" t="s">
        <v>31</v>
      </c>
      <c r="C56" s="273">
        <v>22</v>
      </c>
      <c r="D56" s="273" t="s">
        <v>484</v>
      </c>
      <c r="E56" s="280" t="s">
        <v>163</v>
      </c>
    </row>
    <row r="57" spans="1:5">
      <c r="A57" s="272" t="s">
        <v>54</v>
      </c>
      <c r="B57" s="273" t="s">
        <v>31</v>
      </c>
      <c r="C57" s="273">
        <v>23</v>
      </c>
      <c r="D57" s="273" t="s">
        <v>495</v>
      </c>
      <c r="E57" s="280" t="s">
        <v>163</v>
      </c>
    </row>
    <row r="58" spans="1:5">
      <c r="A58" s="272" t="s">
        <v>55</v>
      </c>
      <c r="B58" s="273" t="s">
        <v>31</v>
      </c>
      <c r="C58" s="273">
        <v>24</v>
      </c>
      <c r="D58" s="273" t="s">
        <v>504</v>
      </c>
      <c r="E58" s="280" t="s">
        <v>163</v>
      </c>
    </row>
    <row r="59" spans="1:5">
      <c r="A59" s="272" t="s">
        <v>56</v>
      </c>
      <c r="B59" s="273" t="s">
        <v>31</v>
      </c>
      <c r="C59" s="273">
        <v>25</v>
      </c>
      <c r="D59" s="273" t="s">
        <v>511</v>
      </c>
      <c r="E59" s="280" t="s">
        <v>163</v>
      </c>
    </row>
    <row r="60" spans="1:5">
      <c r="A60" s="272" t="s">
        <v>57</v>
      </c>
      <c r="B60" s="273" t="s">
        <v>31</v>
      </c>
      <c r="C60" s="273">
        <v>26</v>
      </c>
      <c r="D60" s="273" t="s">
        <v>517</v>
      </c>
      <c r="E60" s="280" t="s">
        <v>163</v>
      </c>
    </row>
    <row r="61" spans="1:5">
      <c r="A61" s="276" t="s">
        <v>58</v>
      </c>
      <c r="B61" s="273" t="s">
        <v>31</v>
      </c>
      <c r="C61" s="286">
        <v>27</v>
      </c>
      <c r="D61" s="273" t="s">
        <v>521</v>
      </c>
      <c r="E61" s="280" t="s">
        <v>163</v>
      </c>
    </row>
    <row r="62" spans="1:5">
      <c r="A62" s="272" t="s">
        <v>59</v>
      </c>
      <c r="B62" s="273" t="s">
        <v>31</v>
      </c>
      <c r="C62" s="273">
        <v>28</v>
      </c>
      <c r="D62" s="286" t="s">
        <v>528</v>
      </c>
      <c r="E62" s="280" t="s">
        <v>163</v>
      </c>
    </row>
    <row r="63" spans="1:5">
      <c r="A63" s="272" t="s">
        <v>60</v>
      </c>
      <c r="B63" s="273" t="s">
        <v>31</v>
      </c>
      <c r="C63" s="273">
        <v>29</v>
      </c>
      <c r="D63" s="273" t="s">
        <v>533</v>
      </c>
      <c r="E63" s="280" t="s">
        <v>163</v>
      </c>
    </row>
    <row r="64" spans="1:5">
      <c r="A64" s="272" t="s">
        <v>61</v>
      </c>
      <c r="B64" s="273" t="s">
        <v>31</v>
      </c>
      <c r="C64" s="273">
        <v>31</v>
      </c>
      <c r="D64" s="273" t="s">
        <v>540</v>
      </c>
      <c r="E64" s="280" t="s">
        <v>163</v>
      </c>
    </row>
    <row r="65" spans="1:5">
      <c r="A65" s="272" t="s">
        <v>163</v>
      </c>
      <c r="B65" s="287" t="s">
        <v>163</v>
      </c>
      <c r="C65" s="273" t="s">
        <v>163</v>
      </c>
      <c r="D65" s="279" t="s">
        <v>163</v>
      </c>
      <c r="E65" s="280" t="s">
        <v>163</v>
      </c>
    </row>
    <row r="66" spans="1:5">
      <c r="A66" s="272" t="s">
        <v>62</v>
      </c>
      <c r="B66" s="273" t="s">
        <v>163</v>
      </c>
      <c r="C66" s="273" t="s">
        <v>163</v>
      </c>
      <c r="D66" s="288" t="s">
        <v>547</v>
      </c>
      <c r="E66" s="282" t="s">
        <v>163</v>
      </c>
    </row>
    <row r="67" spans="1:5">
      <c r="A67" s="272" t="s">
        <v>63</v>
      </c>
      <c r="B67" s="287" t="s">
        <v>553</v>
      </c>
      <c r="C67" s="273" t="s">
        <v>163</v>
      </c>
      <c r="D67" s="283" t="s">
        <v>908</v>
      </c>
      <c r="E67" s="280" t="s">
        <v>163</v>
      </c>
    </row>
    <row r="68" spans="1:5">
      <c r="A68" s="272" t="s">
        <v>64</v>
      </c>
      <c r="B68" s="287" t="s">
        <v>553</v>
      </c>
      <c r="C68" s="273" t="s">
        <v>163</v>
      </c>
      <c r="D68" s="279" t="s">
        <v>560</v>
      </c>
      <c r="E68" s="280" t="s">
        <v>163</v>
      </c>
    </row>
    <row r="69" spans="1:5">
      <c r="A69" s="272" t="s">
        <v>163</v>
      </c>
      <c r="B69" s="287" t="s">
        <v>163</v>
      </c>
      <c r="C69" s="273" t="s">
        <v>163</v>
      </c>
      <c r="D69" s="279" t="s">
        <v>163</v>
      </c>
      <c r="E69" s="280" t="s">
        <v>163</v>
      </c>
    </row>
    <row r="70" spans="1:5">
      <c r="A70" s="276" t="s">
        <v>65</v>
      </c>
      <c r="B70" s="286" t="s">
        <v>163</v>
      </c>
      <c r="C70" s="286" t="s">
        <v>163</v>
      </c>
      <c r="D70" s="279" t="s">
        <v>211</v>
      </c>
      <c r="E70" s="285">
        <v>3.472222222222222E-3</v>
      </c>
    </row>
    <row r="71" spans="1:5">
      <c r="A71" s="272" t="s">
        <v>66</v>
      </c>
      <c r="B71" s="273" t="s">
        <v>163</v>
      </c>
      <c r="C71" s="273" t="s">
        <v>163</v>
      </c>
      <c r="D71" s="288" t="s">
        <v>211</v>
      </c>
      <c r="E71" s="289">
        <v>0.79166666666666663</v>
      </c>
    </row>
    <row r="72" spans="1:5" ht="45.75">
      <c r="A72" s="276" t="s">
        <v>67</v>
      </c>
      <c r="B72" s="286" t="s">
        <v>163</v>
      </c>
      <c r="C72" s="286" t="s">
        <v>163</v>
      </c>
      <c r="D72" s="281" t="s">
        <v>211</v>
      </c>
      <c r="E72" s="289">
        <v>0.98958333333333337</v>
      </c>
    </row>
    <row r="73" spans="1:5">
      <c r="A73" s="272" t="s">
        <v>68</v>
      </c>
      <c r="B73" s="286" t="s">
        <v>163</v>
      </c>
      <c r="C73" s="286" t="s">
        <v>163</v>
      </c>
      <c r="D73" s="283" t="s">
        <v>266</v>
      </c>
      <c r="E73" s="280" t="s">
        <v>163</v>
      </c>
    </row>
    <row r="74" spans="1:5">
      <c r="A74" s="272" t="s">
        <v>553</v>
      </c>
      <c r="B74" s="273" t="s">
        <v>163</v>
      </c>
      <c r="C74" s="273" t="s">
        <v>163</v>
      </c>
      <c r="D74" s="279" t="s">
        <v>163</v>
      </c>
      <c r="E74" s="280" t="s">
        <v>163</v>
      </c>
    </row>
    <row r="75" spans="1:5">
      <c r="A75" s="276" t="s">
        <v>69</v>
      </c>
      <c r="B75" s="286" t="s">
        <v>163</v>
      </c>
      <c r="C75" s="286" t="s">
        <v>163</v>
      </c>
      <c r="D75" s="279" t="s">
        <v>163</v>
      </c>
      <c r="E75" s="280" t="s">
        <v>163</v>
      </c>
    </row>
    <row r="76" spans="1:5">
      <c r="A76" s="272" t="s">
        <v>70</v>
      </c>
      <c r="B76" s="273" t="s">
        <v>69</v>
      </c>
      <c r="C76" s="273">
        <v>1</v>
      </c>
      <c r="D76" s="279" t="s">
        <v>266</v>
      </c>
      <c r="E76" s="280" t="s">
        <v>163</v>
      </c>
    </row>
    <row r="77" spans="1:5">
      <c r="A77" s="272" t="s">
        <v>71</v>
      </c>
      <c r="B77" s="273" t="s">
        <v>69</v>
      </c>
      <c r="C77" s="273">
        <v>2</v>
      </c>
      <c r="D77" s="273" t="s">
        <v>580</v>
      </c>
      <c r="E77" s="280" t="s">
        <v>163</v>
      </c>
    </row>
    <row r="78" spans="1:5">
      <c r="A78" s="272" t="s">
        <v>72</v>
      </c>
      <c r="B78" s="273" t="s">
        <v>69</v>
      </c>
      <c r="C78" s="273">
        <v>3</v>
      </c>
      <c r="D78" s="273" t="s">
        <v>582</v>
      </c>
      <c r="E78" s="280" t="s">
        <v>163</v>
      </c>
    </row>
    <row r="79" spans="1:5">
      <c r="A79" s="272" t="s">
        <v>73</v>
      </c>
      <c r="B79" s="273" t="s">
        <v>69</v>
      </c>
      <c r="C79" s="273">
        <v>4</v>
      </c>
      <c r="D79" s="273" t="s">
        <v>584</v>
      </c>
      <c r="E79" s="280" t="s">
        <v>163</v>
      </c>
    </row>
    <row r="80" spans="1:5">
      <c r="A80" s="272" t="s">
        <v>74</v>
      </c>
      <c r="B80" s="273" t="s">
        <v>69</v>
      </c>
      <c r="C80" s="273">
        <v>5</v>
      </c>
      <c r="D80" s="273" t="s">
        <v>586</v>
      </c>
      <c r="E80" s="280" t="s">
        <v>163</v>
      </c>
    </row>
    <row r="81" spans="1:5">
      <c r="A81" s="272" t="s">
        <v>75</v>
      </c>
      <c r="B81" s="273" t="s">
        <v>69</v>
      </c>
      <c r="C81" s="273">
        <v>6</v>
      </c>
      <c r="D81" s="273" t="s">
        <v>589</v>
      </c>
      <c r="E81" s="280" t="s">
        <v>163</v>
      </c>
    </row>
    <row r="82" spans="1:5">
      <c r="A82" s="272" t="s">
        <v>76</v>
      </c>
      <c r="B82" s="273" t="s">
        <v>69</v>
      </c>
      <c r="C82" s="273">
        <v>7</v>
      </c>
      <c r="D82" s="273" t="s">
        <v>591</v>
      </c>
      <c r="E82" s="280" t="s">
        <v>163</v>
      </c>
    </row>
    <row r="83" spans="1:5">
      <c r="A83" s="272" t="s">
        <v>77</v>
      </c>
      <c r="B83" s="273" t="s">
        <v>69</v>
      </c>
      <c r="C83" s="273">
        <v>8</v>
      </c>
      <c r="D83" s="273" t="s">
        <v>596</v>
      </c>
      <c r="E83" s="280" t="s">
        <v>163</v>
      </c>
    </row>
    <row r="84" spans="1:5">
      <c r="A84" s="272" t="s">
        <v>78</v>
      </c>
      <c r="B84" s="273" t="s">
        <v>69</v>
      </c>
      <c r="C84" s="273">
        <v>9</v>
      </c>
      <c r="D84" s="273" t="s">
        <v>600</v>
      </c>
      <c r="E84" s="280" t="s">
        <v>163</v>
      </c>
    </row>
    <row r="85" spans="1:5">
      <c r="A85" s="272" t="s">
        <v>79</v>
      </c>
      <c r="B85" s="273" t="s">
        <v>69</v>
      </c>
      <c r="C85" s="273">
        <v>10</v>
      </c>
      <c r="D85" s="273" t="s">
        <v>604</v>
      </c>
      <c r="E85" s="280" t="s">
        <v>163</v>
      </c>
    </row>
    <row r="86" spans="1:5">
      <c r="A86" s="272" t="s">
        <v>80</v>
      </c>
      <c r="B86" s="273" t="s">
        <v>69</v>
      </c>
      <c r="C86" s="273">
        <v>11</v>
      </c>
      <c r="D86" s="273" t="s">
        <v>607</v>
      </c>
      <c r="E86" s="280" t="s">
        <v>163</v>
      </c>
    </row>
    <row r="87" spans="1:5">
      <c r="A87" s="272" t="s">
        <v>81</v>
      </c>
      <c r="B87" s="273" t="s">
        <v>69</v>
      </c>
      <c r="C87" s="273">
        <v>12</v>
      </c>
      <c r="D87" s="273" t="s">
        <v>611</v>
      </c>
      <c r="E87" s="280" t="s">
        <v>163</v>
      </c>
    </row>
    <row r="88" spans="1:5">
      <c r="A88" s="272" t="s">
        <v>82</v>
      </c>
      <c r="B88" s="273" t="s">
        <v>69</v>
      </c>
      <c r="C88" s="273">
        <v>13</v>
      </c>
      <c r="D88" s="273" t="s">
        <v>617</v>
      </c>
      <c r="E88" s="280" t="s">
        <v>163</v>
      </c>
    </row>
    <row r="89" spans="1:5">
      <c r="A89" s="272" t="s">
        <v>83</v>
      </c>
      <c r="B89" s="273" t="s">
        <v>69</v>
      </c>
      <c r="C89" s="273">
        <v>14</v>
      </c>
      <c r="D89" s="273" t="s">
        <v>622</v>
      </c>
      <c r="E89" s="280" t="s">
        <v>163</v>
      </c>
    </row>
    <row r="90" spans="1:5">
      <c r="A90" s="272" t="s">
        <v>84</v>
      </c>
      <c r="B90" s="273" t="s">
        <v>69</v>
      </c>
      <c r="C90" s="273">
        <v>15</v>
      </c>
      <c r="D90" s="273" t="s">
        <v>626</v>
      </c>
      <c r="E90" s="280" t="s">
        <v>163</v>
      </c>
    </row>
    <row r="91" spans="1:5">
      <c r="A91" s="277" t="s">
        <v>85</v>
      </c>
      <c r="B91" s="273" t="s">
        <v>69</v>
      </c>
      <c r="C91" s="273">
        <v>16</v>
      </c>
      <c r="D91" s="273" t="s">
        <v>632</v>
      </c>
      <c r="E91" s="280" t="s">
        <v>163</v>
      </c>
    </row>
    <row r="92" spans="1:5">
      <c r="A92" s="277" t="s">
        <v>163</v>
      </c>
      <c r="B92" s="273" t="s">
        <v>163</v>
      </c>
      <c r="C92" s="278" t="s">
        <v>163</v>
      </c>
      <c r="D92" s="273" t="s">
        <v>163</v>
      </c>
      <c r="E92" s="280" t="s">
        <v>163</v>
      </c>
    </row>
    <row r="93" spans="1:5">
      <c r="A93" s="272" t="s">
        <v>86</v>
      </c>
      <c r="B93" s="273" t="s">
        <v>69</v>
      </c>
      <c r="C93" s="273" t="s">
        <v>163</v>
      </c>
      <c r="D93" s="273" t="s">
        <v>641</v>
      </c>
      <c r="E93" s="280" t="s">
        <v>163</v>
      </c>
    </row>
    <row r="94" spans="1:5">
      <c r="A94" s="272" t="s">
        <v>163</v>
      </c>
      <c r="B94" s="273" t="s">
        <v>163</v>
      </c>
      <c r="C94" s="273" t="s">
        <v>163</v>
      </c>
      <c r="D94" s="273" t="s">
        <v>163</v>
      </c>
      <c r="E94" s="280" t="s">
        <v>163</v>
      </c>
    </row>
    <row r="95" spans="1:5">
      <c r="A95" s="272" t="s">
        <v>909</v>
      </c>
      <c r="B95" s="273" t="s">
        <v>163</v>
      </c>
      <c r="C95" s="273" t="s">
        <v>163</v>
      </c>
      <c r="D95" s="273" t="s">
        <v>641</v>
      </c>
      <c r="E95" s="280" t="s">
        <v>163</v>
      </c>
    </row>
    <row r="96" spans="1:5">
      <c r="A96" s="272" t="s">
        <v>163</v>
      </c>
      <c r="B96" s="273" t="s">
        <v>163</v>
      </c>
      <c r="C96" s="273" t="s">
        <v>163</v>
      </c>
      <c r="D96" s="278" t="s">
        <v>163</v>
      </c>
      <c r="E96" s="280" t="s">
        <v>163</v>
      </c>
    </row>
    <row r="97" spans="1:5">
      <c r="A97" s="272" t="s">
        <v>88</v>
      </c>
      <c r="B97" s="273" t="s">
        <v>163</v>
      </c>
      <c r="C97" s="273" t="s">
        <v>163</v>
      </c>
      <c r="D97" s="279" t="s">
        <v>657</v>
      </c>
      <c r="E97" s="285">
        <v>0.16666666666666666</v>
      </c>
    </row>
    <row r="98" spans="1:5">
      <c r="A98" s="277" t="s">
        <v>89</v>
      </c>
      <c r="B98" s="273" t="s">
        <v>88</v>
      </c>
      <c r="C98" s="273">
        <v>1</v>
      </c>
      <c r="D98" s="279" t="s">
        <v>163</v>
      </c>
      <c r="E98" s="280" t="s">
        <v>163</v>
      </c>
    </row>
    <row r="99" spans="1:5">
      <c r="A99" s="277" t="s">
        <v>90</v>
      </c>
      <c r="B99" s="273" t="s">
        <v>88</v>
      </c>
      <c r="C99" s="273">
        <v>2</v>
      </c>
      <c r="D99" s="273" t="s">
        <v>663</v>
      </c>
      <c r="E99" s="280" t="s">
        <v>163</v>
      </c>
    </row>
    <row r="100" spans="1:5">
      <c r="A100" s="277" t="s">
        <v>91</v>
      </c>
      <c r="B100" s="273" t="s">
        <v>88</v>
      </c>
      <c r="C100" s="273">
        <v>3</v>
      </c>
      <c r="D100" s="273" t="s">
        <v>667</v>
      </c>
      <c r="E100" s="280" t="s">
        <v>163</v>
      </c>
    </row>
    <row r="101" spans="1:5">
      <c r="A101" s="277" t="s">
        <v>92</v>
      </c>
      <c r="B101" s="273" t="s">
        <v>88</v>
      </c>
      <c r="C101" s="273">
        <v>4</v>
      </c>
      <c r="D101" s="279" t="s">
        <v>671</v>
      </c>
      <c r="E101" s="280" t="s">
        <v>163</v>
      </c>
    </row>
    <row r="102" spans="1:5">
      <c r="A102" s="272" t="s">
        <v>163</v>
      </c>
      <c r="B102" s="273" t="s">
        <v>163</v>
      </c>
      <c r="C102" s="290" t="s">
        <v>163</v>
      </c>
      <c r="D102" s="291" t="s">
        <v>163</v>
      </c>
      <c r="E102" s="280" t="s">
        <v>163</v>
      </c>
    </row>
    <row r="103" spans="1:5" ht="45.75">
      <c r="A103" s="272" t="s">
        <v>93</v>
      </c>
      <c r="B103" s="273" t="s">
        <v>553</v>
      </c>
      <c r="C103" s="292" t="s">
        <v>163</v>
      </c>
      <c r="D103" s="293" t="s">
        <v>657</v>
      </c>
      <c r="E103" s="285">
        <v>6.9444444444444447E-4</v>
      </c>
    </row>
    <row r="104" spans="1:5">
      <c r="A104" s="272" t="s">
        <v>163</v>
      </c>
      <c r="B104" s="273" t="s">
        <v>163</v>
      </c>
      <c r="C104" s="292" t="s">
        <v>163</v>
      </c>
      <c r="D104" s="293" t="s">
        <v>163</v>
      </c>
      <c r="E104" s="280" t="s">
        <v>163</v>
      </c>
    </row>
    <row r="105" spans="1:5">
      <c r="A105" s="272" t="s">
        <v>94</v>
      </c>
      <c r="B105" s="273" t="s">
        <v>163</v>
      </c>
      <c r="C105" s="292" t="s">
        <v>163</v>
      </c>
      <c r="D105" s="293" t="s">
        <v>679</v>
      </c>
      <c r="E105" s="285">
        <v>0.375</v>
      </c>
    </row>
    <row r="106" spans="1:5">
      <c r="A106" s="272" t="s">
        <v>95</v>
      </c>
      <c r="B106" s="273" t="s">
        <v>94</v>
      </c>
      <c r="C106" s="273">
        <v>1</v>
      </c>
      <c r="D106" s="279" t="s">
        <v>163</v>
      </c>
      <c r="E106" s="280" t="s">
        <v>163</v>
      </c>
    </row>
    <row r="107" spans="1:5">
      <c r="A107" s="272" t="s">
        <v>96</v>
      </c>
      <c r="B107" s="273" t="s">
        <v>94</v>
      </c>
      <c r="C107" s="273">
        <v>2</v>
      </c>
      <c r="D107" s="273" t="s">
        <v>682</v>
      </c>
      <c r="E107" s="280" t="s">
        <v>163</v>
      </c>
    </row>
    <row r="108" spans="1:5">
      <c r="A108" s="272" t="s">
        <v>97</v>
      </c>
      <c r="B108" s="273" t="s">
        <v>94</v>
      </c>
      <c r="C108" s="273">
        <v>3</v>
      </c>
      <c r="D108" s="273" t="s">
        <v>684</v>
      </c>
      <c r="E108" s="280" t="s">
        <v>163</v>
      </c>
    </row>
    <row r="109" spans="1:5">
      <c r="A109" s="272" t="s">
        <v>98</v>
      </c>
      <c r="B109" s="273" t="s">
        <v>94</v>
      </c>
      <c r="C109" s="273">
        <v>4</v>
      </c>
      <c r="D109" s="273" t="s">
        <v>686</v>
      </c>
      <c r="E109" s="280" t="s">
        <v>163</v>
      </c>
    </row>
    <row r="110" spans="1:5">
      <c r="A110" s="272" t="s">
        <v>99</v>
      </c>
      <c r="B110" s="273" t="s">
        <v>94</v>
      </c>
      <c r="C110" s="273">
        <v>5</v>
      </c>
      <c r="D110" s="273" t="s">
        <v>688</v>
      </c>
      <c r="E110" s="280" t="s">
        <v>163</v>
      </c>
    </row>
    <row r="111" spans="1:5">
      <c r="A111" s="272" t="s">
        <v>100</v>
      </c>
      <c r="B111" s="273" t="s">
        <v>94</v>
      </c>
      <c r="C111" s="273">
        <v>6</v>
      </c>
      <c r="D111" s="273" t="s">
        <v>691</v>
      </c>
      <c r="E111" s="280" t="s">
        <v>163</v>
      </c>
    </row>
    <row r="112" spans="1:5">
      <c r="A112" s="272" t="s">
        <v>101</v>
      </c>
      <c r="B112" s="273" t="s">
        <v>94</v>
      </c>
      <c r="C112" s="273">
        <v>7</v>
      </c>
      <c r="D112" s="273" t="s">
        <v>694</v>
      </c>
      <c r="E112" s="280" t="s">
        <v>163</v>
      </c>
    </row>
    <row r="113" spans="1:5">
      <c r="A113" s="272" t="s">
        <v>102</v>
      </c>
      <c r="B113" s="273" t="s">
        <v>94</v>
      </c>
      <c r="C113" s="273">
        <v>8</v>
      </c>
      <c r="D113" s="273" t="s">
        <v>697</v>
      </c>
      <c r="E113" s="280" t="s">
        <v>163</v>
      </c>
    </row>
    <row r="114" spans="1:5">
      <c r="A114" s="272" t="s">
        <v>103</v>
      </c>
      <c r="B114" s="273" t="s">
        <v>94</v>
      </c>
      <c r="C114" s="273">
        <v>9</v>
      </c>
      <c r="D114" s="273" t="s">
        <v>700</v>
      </c>
      <c r="E114" s="280" t="s">
        <v>163</v>
      </c>
    </row>
    <row r="115" spans="1:5">
      <c r="A115" s="272" t="s">
        <v>104</v>
      </c>
      <c r="B115" s="273" t="s">
        <v>94</v>
      </c>
      <c r="C115" s="273">
        <v>10</v>
      </c>
      <c r="D115" s="273" t="s">
        <v>703</v>
      </c>
      <c r="E115" s="280" t="s">
        <v>163</v>
      </c>
    </row>
    <row r="116" spans="1:5">
      <c r="A116" s="272" t="s">
        <v>105</v>
      </c>
      <c r="B116" s="273" t="s">
        <v>94</v>
      </c>
      <c r="C116" s="273">
        <v>11</v>
      </c>
      <c r="D116" s="273" t="s">
        <v>706</v>
      </c>
      <c r="E116" s="280" t="s">
        <v>163</v>
      </c>
    </row>
    <row r="117" spans="1:5">
      <c r="A117" s="272" t="s">
        <v>106</v>
      </c>
      <c r="B117" s="273" t="s">
        <v>94</v>
      </c>
      <c r="C117" s="273">
        <v>12</v>
      </c>
      <c r="D117" s="273" t="s">
        <v>708</v>
      </c>
      <c r="E117" s="280" t="s">
        <v>163</v>
      </c>
    </row>
    <row r="118" spans="1:5">
      <c r="A118" s="272" t="s">
        <v>107</v>
      </c>
      <c r="B118" s="273" t="s">
        <v>94</v>
      </c>
      <c r="C118" s="273">
        <v>13</v>
      </c>
      <c r="D118" s="273" t="s">
        <v>710</v>
      </c>
      <c r="E118" s="280" t="s">
        <v>163</v>
      </c>
    </row>
    <row r="119" spans="1:5">
      <c r="A119" s="272" t="s">
        <v>108</v>
      </c>
      <c r="B119" s="273" t="s">
        <v>94</v>
      </c>
      <c r="C119" s="273">
        <v>14</v>
      </c>
      <c r="D119" s="273" t="s">
        <v>712</v>
      </c>
      <c r="E119" s="280" t="s">
        <v>163</v>
      </c>
    </row>
    <row r="120" spans="1:5">
      <c r="A120" s="272" t="s">
        <v>109</v>
      </c>
      <c r="B120" s="273" t="s">
        <v>94</v>
      </c>
      <c r="C120" s="273">
        <v>15</v>
      </c>
      <c r="D120" s="273" t="s">
        <v>714</v>
      </c>
      <c r="E120" s="280" t="s">
        <v>163</v>
      </c>
    </row>
    <row r="121" spans="1:5">
      <c r="A121" s="272" t="s">
        <v>110</v>
      </c>
      <c r="B121" s="273" t="s">
        <v>94</v>
      </c>
      <c r="C121" s="273">
        <v>16</v>
      </c>
      <c r="D121" s="273" t="s">
        <v>715</v>
      </c>
      <c r="E121" s="280" t="s">
        <v>163</v>
      </c>
    </row>
    <row r="122" spans="1:5">
      <c r="A122" s="272" t="s">
        <v>111</v>
      </c>
      <c r="B122" s="273" t="s">
        <v>94</v>
      </c>
      <c r="C122" s="273">
        <v>17</v>
      </c>
      <c r="D122" s="273" t="s">
        <v>717</v>
      </c>
      <c r="E122" s="280" t="s">
        <v>163</v>
      </c>
    </row>
    <row r="123" spans="1:5">
      <c r="A123" s="272" t="s">
        <v>112</v>
      </c>
      <c r="B123" s="273" t="s">
        <v>94</v>
      </c>
      <c r="C123" s="273">
        <v>18</v>
      </c>
      <c r="D123" s="273" t="s">
        <v>720</v>
      </c>
      <c r="E123" s="280" t="s">
        <v>163</v>
      </c>
    </row>
    <row r="124" spans="1:5">
      <c r="A124" s="272" t="s">
        <v>113</v>
      </c>
      <c r="B124" s="273" t="s">
        <v>94</v>
      </c>
      <c r="C124" s="273">
        <v>19</v>
      </c>
      <c r="D124" s="273" t="s">
        <v>722</v>
      </c>
      <c r="E124" s="280" t="s">
        <v>163</v>
      </c>
    </row>
    <row r="125" spans="1:5">
      <c r="A125" s="272" t="s">
        <v>114</v>
      </c>
      <c r="B125" s="273" t="s">
        <v>94</v>
      </c>
      <c r="C125" s="273">
        <v>20</v>
      </c>
      <c r="D125" s="273" t="s">
        <v>727</v>
      </c>
      <c r="E125" s="280" t="s">
        <v>163</v>
      </c>
    </row>
    <row r="126" spans="1:5">
      <c r="A126" s="272" t="s">
        <v>115</v>
      </c>
      <c r="B126" s="273" t="s">
        <v>94</v>
      </c>
      <c r="C126" s="273">
        <v>21</v>
      </c>
      <c r="D126" s="273" t="s">
        <v>731</v>
      </c>
      <c r="E126" s="280" t="s">
        <v>163</v>
      </c>
    </row>
    <row r="127" spans="1:5">
      <c r="A127" s="272" t="s">
        <v>116</v>
      </c>
      <c r="B127" s="273" t="s">
        <v>94</v>
      </c>
      <c r="C127" s="273">
        <v>22</v>
      </c>
      <c r="D127" s="273" t="s">
        <v>737</v>
      </c>
      <c r="E127" s="280" t="s">
        <v>163</v>
      </c>
    </row>
    <row r="128" spans="1:5">
      <c r="A128" s="272" t="s">
        <v>117</v>
      </c>
      <c r="B128" s="273" t="s">
        <v>94</v>
      </c>
      <c r="C128" s="273">
        <v>23</v>
      </c>
      <c r="D128" s="273" t="s">
        <v>741</v>
      </c>
      <c r="E128" s="280" t="s">
        <v>163</v>
      </c>
    </row>
    <row r="129" spans="1:5">
      <c r="A129" s="272" t="s">
        <v>118</v>
      </c>
      <c r="B129" s="273" t="s">
        <v>94</v>
      </c>
      <c r="C129" s="273">
        <v>24</v>
      </c>
      <c r="D129" s="273" t="s">
        <v>745</v>
      </c>
      <c r="E129" s="280" t="s">
        <v>163</v>
      </c>
    </row>
    <row r="130" spans="1:5">
      <c r="A130" s="272" t="s">
        <v>119</v>
      </c>
      <c r="B130" s="273" t="s">
        <v>94</v>
      </c>
      <c r="C130" s="273">
        <v>25</v>
      </c>
      <c r="D130" s="273" t="s">
        <v>751</v>
      </c>
      <c r="E130" s="280" t="s">
        <v>163</v>
      </c>
    </row>
    <row r="131" spans="1:5">
      <c r="A131" s="272" t="s">
        <v>120</v>
      </c>
      <c r="B131" s="273" t="s">
        <v>94</v>
      </c>
      <c r="C131" s="273">
        <v>26</v>
      </c>
      <c r="D131" s="273" t="s">
        <v>756</v>
      </c>
      <c r="E131" s="280" t="s">
        <v>163</v>
      </c>
    </row>
    <row r="132" spans="1:5">
      <c r="A132" s="276" t="s">
        <v>121</v>
      </c>
      <c r="B132" s="273" t="s">
        <v>94</v>
      </c>
      <c r="C132" s="273">
        <v>27</v>
      </c>
      <c r="D132" s="273" t="s">
        <v>761</v>
      </c>
      <c r="E132" s="280" t="s">
        <v>163</v>
      </c>
    </row>
    <row r="133" spans="1:5">
      <c r="A133" s="276" t="s">
        <v>122</v>
      </c>
      <c r="B133" s="273" t="s">
        <v>94</v>
      </c>
      <c r="C133" s="273">
        <v>28</v>
      </c>
      <c r="D133" s="273" t="s">
        <v>766</v>
      </c>
      <c r="E133" s="280" t="s">
        <v>163</v>
      </c>
    </row>
    <row r="134" spans="1:5">
      <c r="A134" s="272" t="s">
        <v>553</v>
      </c>
      <c r="B134" s="273" t="s">
        <v>553</v>
      </c>
      <c r="C134" s="273" t="s">
        <v>163</v>
      </c>
      <c r="D134" s="279" t="s">
        <v>163</v>
      </c>
      <c r="E134" s="280" t="s">
        <v>163</v>
      </c>
    </row>
    <row r="135" spans="1:5" ht="30.75">
      <c r="A135" s="276" t="s">
        <v>123</v>
      </c>
      <c r="B135" s="286" t="s">
        <v>163</v>
      </c>
      <c r="C135" s="273" t="s">
        <v>163</v>
      </c>
      <c r="D135" s="281" t="s">
        <v>771</v>
      </c>
      <c r="E135" s="294">
        <v>0.72916666666666663</v>
      </c>
    </row>
    <row r="136" spans="1:5" ht="106.5">
      <c r="A136" s="276" t="s">
        <v>124</v>
      </c>
      <c r="B136" s="286" t="s">
        <v>163</v>
      </c>
      <c r="C136" s="286" t="s">
        <v>163</v>
      </c>
      <c r="D136" s="295" t="s">
        <v>776</v>
      </c>
      <c r="E136" s="296">
        <v>0.75</v>
      </c>
    </row>
    <row r="137" spans="1:5" ht="106.5">
      <c r="A137" s="276" t="s">
        <v>125</v>
      </c>
      <c r="B137" s="286" t="s">
        <v>163</v>
      </c>
      <c r="C137" s="286" t="s">
        <v>163</v>
      </c>
      <c r="D137" s="280" t="s">
        <v>776</v>
      </c>
      <c r="E137" s="285">
        <v>0.77083333333333337</v>
      </c>
    </row>
    <row r="138" spans="1:5" ht="106.5">
      <c r="A138" s="276" t="s">
        <v>126</v>
      </c>
      <c r="B138" s="286" t="s">
        <v>163</v>
      </c>
      <c r="C138" s="286" t="s">
        <v>163</v>
      </c>
      <c r="D138" s="280" t="s">
        <v>791</v>
      </c>
      <c r="E138" s="285">
        <v>0.83333333333333337</v>
      </c>
    </row>
    <row r="139" spans="1:5">
      <c r="A139" s="276" t="s">
        <v>163</v>
      </c>
      <c r="B139" s="286" t="s">
        <v>163</v>
      </c>
      <c r="C139" s="286" t="s">
        <v>163</v>
      </c>
      <c r="D139" s="279" t="s">
        <v>163</v>
      </c>
      <c r="E139" s="280" t="s">
        <v>163</v>
      </c>
    </row>
    <row r="140" spans="1:5">
      <c r="A140" s="272" t="s">
        <v>127</v>
      </c>
      <c r="B140" s="273" t="s">
        <v>163</v>
      </c>
      <c r="C140" s="273" t="s">
        <v>163</v>
      </c>
      <c r="D140" s="279" t="s">
        <v>641</v>
      </c>
      <c r="E140" s="280" t="s">
        <v>163</v>
      </c>
    </row>
    <row r="141" spans="1:5">
      <c r="A141" s="272" t="s">
        <v>163</v>
      </c>
      <c r="B141" s="273" t="s">
        <v>163</v>
      </c>
      <c r="C141" s="273" t="s">
        <v>163</v>
      </c>
      <c r="D141" s="279" t="s">
        <v>163</v>
      </c>
      <c r="E141" s="280" t="s">
        <v>163</v>
      </c>
    </row>
    <row r="142" spans="1:5">
      <c r="A142" s="272" t="s">
        <v>128</v>
      </c>
      <c r="B142" s="273" t="s">
        <v>163</v>
      </c>
      <c r="C142" s="273" t="s">
        <v>163</v>
      </c>
      <c r="D142" s="279" t="s">
        <v>641</v>
      </c>
      <c r="E142" s="280" t="s">
        <v>163</v>
      </c>
    </row>
    <row r="143" spans="1:5">
      <c r="A143" s="272" t="s">
        <v>129</v>
      </c>
      <c r="B143" s="273" t="s">
        <v>163</v>
      </c>
      <c r="C143" s="273" t="s">
        <v>163</v>
      </c>
      <c r="D143" s="279" t="s">
        <v>641</v>
      </c>
      <c r="E143" s="280" t="s">
        <v>163</v>
      </c>
    </row>
    <row r="144" spans="1:5">
      <c r="A144" s="272" t="s">
        <v>130</v>
      </c>
      <c r="B144" s="273" t="s">
        <v>163</v>
      </c>
      <c r="C144" s="273" t="s">
        <v>163</v>
      </c>
      <c r="D144" s="279" t="s">
        <v>641</v>
      </c>
      <c r="E144" s="280" t="s">
        <v>163</v>
      </c>
    </row>
    <row r="145" spans="1:5">
      <c r="A145" s="272" t="s">
        <v>163</v>
      </c>
      <c r="B145" s="273" t="s">
        <v>163</v>
      </c>
      <c r="C145" s="297" t="s">
        <v>163</v>
      </c>
      <c r="D145" s="279" t="s">
        <v>163</v>
      </c>
      <c r="E145" s="280" t="s">
        <v>163</v>
      </c>
    </row>
    <row r="146" spans="1:5">
      <c r="A146" s="298" t="s">
        <v>131</v>
      </c>
      <c r="B146" s="297" t="s">
        <v>163</v>
      </c>
      <c r="C146" s="279" t="s">
        <v>163</v>
      </c>
      <c r="D146" s="288" t="s">
        <v>822</v>
      </c>
      <c r="E146" s="289">
        <v>0.70833333333333337</v>
      </c>
    </row>
    <row r="147" spans="1:5">
      <c r="A147" s="298" t="s">
        <v>132</v>
      </c>
      <c r="B147" s="297" t="s">
        <v>163</v>
      </c>
      <c r="C147" s="297" t="s">
        <v>163</v>
      </c>
      <c r="D147" s="283" t="s">
        <v>910</v>
      </c>
      <c r="E147" s="285">
        <v>0.70833333333333337</v>
      </c>
    </row>
    <row r="148" spans="1:5">
      <c r="A148" s="298" t="s">
        <v>133</v>
      </c>
      <c r="B148" s="297" t="s">
        <v>163</v>
      </c>
      <c r="C148" s="297" t="s">
        <v>163</v>
      </c>
      <c r="D148" s="279" t="s">
        <v>911</v>
      </c>
      <c r="E148" s="285">
        <v>0.70833333333333337</v>
      </c>
    </row>
    <row r="149" spans="1:5">
      <c r="A149" s="298" t="s">
        <v>134</v>
      </c>
      <c r="B149" s="297" t="s">
        <v>163</v>
      </c>
      <c r="C149" s="297" t="s">
        <v>163</v>
      </c>
      <c r="D149" s="279" t="s">
        <v>897</v>
      </c>
      <c r="E149" s="285">
        <v>0.70833333333333337</v>
      </c>
    </row>
    <row r="150" spans="1:5">
      <c r="A150" s="298" t="s">
        <v>135</v>
      </c>
      <c r="B150" s="297" t="s">
        <v>163</v>
      </c>
      <c r="C150" s="297" t="s">
        <v>163</v>
      </c>
      <c r="D150" s="279" t="s">
        <v>897</v>
      </c>
      <c r="E150" s="285">
        <v>0.70833333333333337</v>
      </c>
    </row>
    <row r="151" spans="1:5">
      <c r="A151" s="298" t="s">
        <v>163</v>
      </c>
      <c r="B151" s="297" t="s">
        <v>163</v>
      </c>
      <c r="C151" s="297" t="s">
        <v>163</v>
      </c>
      <c r="D151" s="279" t="s">
        <v>163</v>
      </c>
      <c r="E151" s="280" t="s">
        <v>163</v>
      </c>
    </row>
    <row r="152" spans="1:5" ht="137.25">
      <c r="A152" s="272" t="s">
        <v>136</v>
      </c>
      <c r="B152" s="273" t="s">
        <v>163</v>
      </c>
      <c r="C152" s="273" t="s">
        <v>163</v>
      </c>
      <c r="D152" s="279" t="s">
        <v>912</v>
      </c>
      <c r="E152" s="280" t="s">
        <v>855</v>
      </c>
    </row>
    <row r="153" spans="1:5" ht="213">
      <c r="A153" s="272" t="s">
        <v>137</v>
      </c>
      <c r="B153" s="273" t="s">
        <v>163</v>
      </c>
      <c r="C153" s="273" t="s">
        <v>163</v>
      </c>
      <c r="D153" s="279" t="s">
        <v>857</v>
      </c>
      <c r="E153" s="280" t="s">
        <v>858</v>
      </c>
    </row>
    <row r="154" spans="1:5" ht="121.5">
      <c r="A154" s="272" t="s">
        <v>138</v>
      </c>
      <c r="B154" s="273" t="s">
        <v>163</v>
      </c>
      <c r="C154" s="273" t="s">
        <v>163</v>
      </c>
      <c r="D154" s="279" t="s">
        <v>860</v>
      </c>
      <c r="E154" s="280" t="s">
        <v>861</v>
      </c>
    </row>
    <row r="155" spans="1:5">
      <c r="A155" s="272" t="s">
        <v>163</v>
      </c>
      <c r="B155" s="273" t="s">
        <v>163</v>
      </c>
      <c r="C155" s="273" t="s">
        <v>163</v>
      </c>
      <c r="D155" s="279" t="s">
        <v>163</v>
      </c>
      <c r="E155" s="280" t="s">
        <v>163</v>
      </c>
    </row>
    <row r="156" spans="1:5">
      <c r="A156" s="272" t="s">
        <v>139</v>
      </c>
      <c r="B156" s="273" t="s">
        <v>163</v>
      </c>
      <c r="C156" s="273" t="s">
        <v>163</v>
      </c>
      <c r="D156" s="279" t="s">
        <v>862</v>
      </c>
      <c r="E156" s="285">
        <v>0.75</v>
      </c>
    </row>
    <row r="157" spans="1:5">
      <c r="A157" s="291" t="s">
        <v>163</v>
      </c>
      <c r="B157" s="279" t="s">
        <v>163</v>
      </c>
      <c r="C157" s="279" t="s">
        <v>163</v>
      </c>
      <c r="D157" s="279" t="s">
        <v>163</v>
      </c>
      <c r="E157" s="280" t="s">
        <v>163</v>
      </c>
    </row>
    <row r="158" spans="1:5">
      <c r="A158" s="291" t="s">
        <v>140</v>
      </c>
      <c r="B158" s="279" t="s">
        <v>163</v>
      </c>
      <c r="C158" s="279" t="s">
        <v>163</v>
      </c>
      <c r="D158" s="279" t="s">
        <v>211</v>
      </c>
      <c r="E158" s="285">
        <v>0.625</v>
      </c>
    </row>
    <row r="159" spans="1:5">
      <c r="A159" s="291" t="s">
        <v>141</v>
      </c>
      <c r="B159" s="279" t="s">
        <v>163</v>
      </c>
      <c r="C159" s="279" t="s">
        <v>163</v>
      </c>
      <c r="D159" s="279" t="s">
        <v>913</v>
      </c>
      <c r="E159" s="280" t="s">
        <v>163</v>
      </c>
    </row>
    <row r="160" spans="1:5">
      <c r="A160" s="291" t="s">
        <v>142</v>
      </c>
      <c r="B160" s="279" t="s">
        <v>163</v>
      </c>
      <c r="C160" s="279" t="s">
        <v>163</v>
      </c>
      <c r="D160" s="279" t="s">
        <v>914</v>
      </c>
      <c r="E160" s="280" t="s">
        <v>163</v>
      </c>
    </row>
    <row r="161" spans="1:5">
      <c r="A161" s="272" t="s">
        <v>163</v>
      </c>
      <c r="B161" s="273" t="s">
        <v>163</v>
      </c>
      <c r="C161" s="273" t="s">
        <v>163</v>
      </c>
      <c r="D161" s="279" t="s">
        <v>163</v>
      </c>
      <c r="E161" s="280" t="s">
        <v>163</v>
      </c>
    </row>
    <row r="162" spans="1:5">
      <c r="A162" s="272" t="s">
        <v>143</v>
      </c>
      <c r="B162" s="273" t="s">
        <v>163</v>
      </c>
      <c r="C162" s="273" t="s">
        <v>163</v>
      </c>
      <c r="D162" s="279" t="s">
        <v>266</v>
      </c>
      <c r="E162" s="280" t="s">
        <v>163</v>
      </c>
    </row>
    <row r="163" spans="1:5">
      <c r="A163" s="272" t="s">
        <v>163</v>
      </c>
      <c r="B163" s="273" t="s">
        <v>163</v>
      </c>
      <c r="C163" s="273" t="s">
        <v>163</v>
      </c>
      <c r="D163" s="279" t="s">
        <v>163</v>
      </c>
      <c r="E163" s="280" t="s">
        <v>163</v>
      </c>
    </row>
    <row r="164" spans="1:5">
      <c r="A164" s="272" t="s">
        <v>144</v>
      </c>
      <c r="B164" s="273" t="s">
        <v>163</v>
      </c>
      <c r="C164" s="273" t="s">
        <v>163</v>
      </c>
      <c r="D164" s="279" t="s">
        <v>266</v>
      </c>
      <c r="E164" s="280" t="s">
        <v>163</v>
      </c>
    </row>
    <row r="165" spans="1:5">
      <c r="A165" s="272" t="s">
        <v>163</v>
      </c>
      <c r="B165" s="273" t="s">
        <v>163</v>
      </c>
      <c r="C165" s="273" t="s">
        <v>163</v>
      </c>
      <c r="D165" s="279" t="s">
        <v>163</v>
      </c>
      <c r="E165" s="280" t="s">
        <v>163</v>
      </c>
    </row>
    <row r="166" spans="1:5">
      <c r="A166" s="272" t="s">
        <v>145</v>
      </c>
      <c r="B166" s="273" t="s">
        <v>163</v>
      </c>
      <c r="C166" s="273" t="s">
        <v>163</v>
      </c>
      <c r="D166" s="279" t="s">
        <v>872</v>
      </c>
      <c r="E166" s="285">
        <v>3.472222222222222E-3</v>
      </c>
    </row>
    <row r="167" spans="1:5">
      <c r="A167" s="272" t="s">
        <v>163</v>
      </c>
      <c r="B167" s="273" t="s">
        <v>163</v>
      </c>
      <c r="C167" s="273" t="s">
        <v>163</v>
      </c>
      <c r="D167" s="279" t="s">
        <v>163</v>
      </c>
      <c r="E167" s="280" t="s">
        <v>163</v>
      </c>
    </row>
    <row r="168" spans="1:5">
      <c r="A168" s="272" t="s">
        <v>163</v>
      </c>
      <c r="B168" s="273" t="s">
        <v>163</v>
      </c>
      <c r="C168" s="273" t="s">
        <v>163</v>
      </c>
      <c r="D168" s="279" t="s">
        <v>163</v>
      </c>
      <c r="E168" s="280" t="s">
        <v>163</v>
      </c>
    </row>
    <row r="169" spans="1:5">
      <c r="A169" s="272" t="s">
        <v>146</v>
      </c>
      <c r="B169" s="273" t="s">
        <v>163</v>
      </c>
      <c r="C169" s="273" t="s">
        <v>163</v>
      </c>
      <c r="D169" s="279" t="s">
        <v>875</v>
      </c>
      <c r="E169" s="285">
        <v>8.3333333333333329E-2</v>
      </c>
    </row>
    <row r="170" spans="1:5">
      <c r="A170" s="272" t="s">
        <v>163</v>
      </c>
      <c r="B170" s="273" t="s">
        <v>163</v>
      </c>
      <c r="C170" s="273" t="s">
        <v>163</v>
      </c>
      <c r="D170" s="279" t="s">
        <v>163</v>
      </c>
      <c r="E170" s="280" t="s">
        <v>163</v>
      </c>
    </row>
    <row r="171" spans="1:5">
      <c r="A171" s="291" t="s">
        <v>147</v>
      </c>
      <c r="B171" s="273" t="s">
        <v>163</v>
      </c>
      <c r="C171" s="273" t="s">
        <v>163</v>
      </c>
      <c r="D171" s="279" t="s">
        <v>877</v>
      </c>
      <c r="E171" s="280" t="s">
        <v>163</v>
      </c>
    </row>
    <row r="172" spans="1:5">
      <c r="A172" s="272" t="s">
        <v>148</v>
      </c>
      <c r="B172" s="273" t="s">
        <v>163</v>
      </c>
      <c r="C172" s="273" t="s">
        <v>163</v>
      </c>
      <c r="D172" s="279" t="s">
        <v>877</v>
      </c>
      <c r="E172" s="280" t="s">
        <v>163</v>
      </c>
    </row>
    <row r="173" spans="1:5">
      <c r="A173" s="272" t="s">
        <v>163</v>
      </c>
      <c r="B173" s="273" t="s">
        <v>163</v>
      </c>
      <c r="C173" s="273" t="s">
        <v>163</v>
      </c>
      <c r="D173" s="279" t="s">
        <v>163</v>
      </c>
      <c r="E173" s="280" t="s">
        <v>163</v>
      </c>
    </row>
    <row r="174" spans="1:5">
      <c r="A174" s="272" t="s">
        <v>149</v>
      </c>
      <c r="B174" s="273" t="s">
        <v>163</v>
      </c>
      <c r="C174" s="273" t="s">
        <v>163</v>
      </c>
      <c r="D174" s="279" t="s">
        <v>879</v>
      </c>
      <c r="E174" s="280" t="s">
        <v>163</v>
      </c>
    </row>
    <row r="175" spans="1:5">
      <c r="A175" s="272" t="s">
        <v>150</v>
      </c>
      <c r="B175" s="273" t="s">
        <v>163</v>
      </c>
      <c r="C175" s="273" t="s">
        <v>163</v>
      </c>
      <c r="D175" s="279" t="s">
        <v>879</v>
      </c>
      <c r="E175" s="280" t="s">
        <v>163</v>
      </c>
    </row>
    <row r="176" spans="1:5">
      <c r="A176" s="272" t="s">
        <v>151</v>
      </c>
      <c r="B176" s="273" t="s">
        <v>163</v>
      </c>
      <c r="C176" s="273" t="s">
        <v>163</v>
      </c>
      <c r="D176" s="279" t="s">
        <v>879</v>
      </c>
      <c r="E176" s="280" t="s">
        <v>163</v>
      </c>
    </row>
    <row r="177" spans="1:5">
      <c r="A177" s="272" t="s">
        <v>163</v>
      </c>
      <c r="B177" s="273" t="s">
        <v>163</v>
      </c>
      <c r="C177" s="273" t="s">
        <v>163</v>
      </c>
      <c r="D177" s="279" t="s">
        <v>163</v>
      </c>
      <c r="E177" s="280" t="s">
        <v>163</v>
      </c>
    </row>
    <row r="178" spans="1:5">
      <c r="A178" s="272" t="s">
        <v>152</v>
      </c>
      <c r="B178" s="273" t="s">
        <v>163</v>
      </c>
      <c r="C178" s="273" t="s">
        <v>163</v>
      </c>
      <c r="D178" s="279" t="s">
        <v>915</v>
      </c>
      <c r="E178" s="285">
        <v>0.16666666666666666</v>
      </c>
    </row>
    <row r="179" spans="1:5" ht="45.75">
      <c r="A179" s="272" t="s">
        <v>153</v>
      </c>
      <c r="B179" s="273" t="s">
        <v>163</v>
      </c>
      <c r="C179" s="273" t="s">
        <v>163</v>
      </c>
      <c r="D179" s="281" t="s">
        <v>888</v>
      </c>
      <c r="E179" s="289">
        <v>0.70833333333333337</v>
      </c>
    </row>
    <row r="180" spans="1:5" ht="45.75">
      <c r="A180" s="272" t="s">
        <v>154</v>
      </c>
      <c r="B180" s="273" t="s">
        <v>163</v>
      </c>
      <c r="C180" s="273" t="s">
        <v>163</v>
      </c>
      <c r="D180" s="299" t="s">
        <v>891</v>
      </c>
      <c r="E180" s="289">
        <v>0.70833333333333337</v>
      </c>
    </row>
    <row r="181" spans="1:5" ht="60.75">
      <c r="A181" s="272" t="s">
        <v>155</v>
      </c>
      <c r="B181" s="273" t="s">
        <v>163</v>
      </c>
      <c r="C181" s="273" t="s">
        <v>163</v>
      </c>
      <c r="D181" s="299" t="s">
        <v>893</v>
      </c>
      <c r="E181" s="289">
        <v>0.70833333333333337</v>
      </c>
    </row>
    <row r="182" spans="1:5">
      <c r="A182" s="291" t="s">
        <v>163</v>
      </c>
      <c r="B182" s="279" t="s">
        <v>163</v>
      </c>
      <c r="C182" s="279" t="s">
        <v>163</v>
      </c>
      <c r="D182" s="283" t="s">
        <v>163</v>
      </c>
      <c r="E182" s="280" t="s">
        <v>163</v>
      </c>
    </row>
    <row r="183" spans="1:5">
      <c r="A183" s="291" t="s">
        <v>156</v>
      </c>
      <c r="B183" s="279" t="s">
        <v>163</v>
      </c>
      <c r="C183" s="279" t="s">
        <v>163</v>
      </c>
      <c r="D183" s="279" t="s">
        <v>822</v>
      </c>
      <c r="E183" s="285">
        <v>0.70833333333333337</v>
      </c>
    </row>
    <row r="184" spans="1:5">
      <c r="A184" s="291" t="s">
        <v>157</v>
      </c>
      <c r="B184" s="279" t="s">
        <v>163</v>
      </c>
      <c r="C184" s="279" t="s">
        <v>163</v>
      </c>
      <c r="D184" s="279" t="s">
        <v>910</v>
      </c>
      <c r="E184" s="285">
        <v>0.70833333333333337</v>
      </c>
    </row>
    <row r="185" spans="1:5">
      <c r="A185" s="291" t="s">
        <v>158</v>
      </c>
      <c r="B185" s="279" t="s">
        <v>163</v>
      </c>
      <c r="C185" s="279" t="s">
        <v>163</v>
      </c>
      <c r="D185" s="279" t="s">
        <v>911</v>
      </c>
      <c r="E185" s="285">
        <v>0.70833333333333337</v>
      </c>
    </row>
    <row r="186" spans="1:5">
      <c r="A186" s="291" t="s">
        <v>159</v>
      </c>
      <c r="B186" s="279" t="s">
        <v>163</v>
      </c>
      <c r="C186" s="279" t="s">
        <v>163</v>
      </c>
      <c r="D186" s="279" t="s">
        <v>897</v>
      </c>
      <c r="E186" s="300">
        <v>0.70833333333333337</v>
      </c>
    </row>
    <row r="187" spans="1:5">
      <c r="A187" s="291" t="s">
        <v>160</v>
      </c>
      <c r="B187" s="279" t="s">
        <v>163</v>
      </c>
      <c r="C187" s="279" t="s">
        <v>163</v>
      </c>
      <c r="D187" s="279" t="s">
        <v>897</v>
      </c>
      <c r="E187" s="301">
        <v>0.70833333333333337</v>
      </c>
    </row>
    <row r="188" spans="1:5">
      <c r="A188" s="291" t="s">
        <v>163</v>
      </c>
      <c r="B188" s="279" t="s">
        <v>163</v>
      </c>
      <c r="C188" s="279" t="s">
        <v>163</v>
      </c>
      <c r="D188" s="279" t="s">
        <v>163</v>
      </c>
      <c r="E188" s="302" t="s">
        <v>163</v>
      </c>
    </row>
    <row r="189" spans="1:5">
      <c r="A189" s="291" t="s">
        <v>161</v>
      </c>
      <c r="B189" s="279" t="s">
        <v>163</v>
      </c>
      <c r="C189" s="279" t="s">
        <v>163</v>
      </c>
      <c r="D189" s="279" t="s">
        <v>641</v>
      </c>
      <c r="E189" s="295" t="s">
        <v>163</v>
      </c>
    </row>
    <row r="190" spans="1:5">
      <c r="A190" s="291" t="s">
        <v>163</v>
      </c>
      <c r="B190" s="279" t="s">
        <v>163</v>
      </c>
      <c r="C190" s="279" t="s">
        <v>163</v>
      </c>
      <c r="D190" s="279" t="s">
        <v>163</v>
      </c>
      <c r="E190" s="280" t="s">
        <v>163</v>
      </c>
    </row>
    <row r="191" spans="1:5">
      <c r="A191" s="291" t="s">
        <v>163</v>
      </c>
      <c r="B191" s="279" t="s">
        <v>163</v>
      </c>
      <c r="C191" s="279" t="s">
        <v>163</v>
      </c>
      <c r="D191" s="279" t="s">
        <v>163</v>
      </c>
      <c r="E191" s="280" t="s">
        <v>163</v>
      </c>
    </row>
    <row r="192" spans="1:5">
      <c r="A192" s="303" t="s">
        <v>916</v>
      </c>
      <c r="B192" s="279" t="s">
        <v>163</v>
      </c>
      <c r="C192" s="279" t="s">
        <v>163</v>
      </c>
      <c r="D192" s="279" t="s">
        <v>163</v>
      </c>
      <c r="E192" s="280" t="s">
        <v>163</v>
      </c>
    </row>
    <row r="193" spans="1:5">
      <c r="A193" s="304" t="s">
        <v>163</v>
      </c>
      <c r="B193" s="305" t="s">
        <v>163</v>
      </c>
      <c r="C193" s="305" t="s">
        <v>163</v>
      </c>
      <c r="D193" s="279" t="s">
        <v>163</v>
      </c>
      <c r="E193" s="280" t="s">
        <v>163</v>
      </c>
    </row>
    <row r="194" spans="1:5" ht="290.25">
      <c r="A194" s="306" t="s">
        <v>917</v>
      </c>
      <c r="B194" s="307" t="s">
        <v>163</v>
      </c>
      <c r="C194" s="307" t="s">
        <v>163</v>
      </c>
      <c r="D194" s="279" t="s">
        <v>163</v>
      </c>
      <c r="E194" s="280" t="s">
        <v>163</v>
      </c>
    </row>
    <row r="195" spans="1:5" ht="229.5">
      <c r="A195" s="306" t="s">
        <v>918</v>
      </c>
      <c r="B195" s="307" t="s">
        <v>163</v>
      </c>
      <c r="C195" s="307" t="s">
        <v>163</v>
      </c>
      <c r="D195" s="279" t="s">
        <v>163</v>
      </c>
      <c r="E195" s="280" t="s">
        <v>163</v>
      </c>
    </row>
    <row r="196" spans="1:5" ht="167.25">
      <c r="A196" s="306" t="s">
        <v>919</v>
      </c>
      <c r="B196" s="307" t="s">
        <v>163</v>
      </c>
      <c r="C196" s="307" t="s">
        <v>163</v>
      </c>
      <c r="D196" s="279" t="s">
        <v>163</v>
      </c>
      <c r="E196" s="280" t="s">
        <v>163</v>
      </c>
    </row>
    <row r="197" spans="1:5">
      <c r="A197" s="291" t="s">
        <v>163</v>
      </c>
      <c r="B197" s="279" t="s">
        <v>163</v>
      </c>
      <c r="C197" s="279" t="s">
        <v>163</v>
      </c>
      <c r="D197" s="279" t="s">
        <v>163</v>
      </c>
      <c r="E197" s="280" t="s">
        <v>163</v>
      </c>
    </row>
    <row r="198" spans="1:5" ht="336">
      <c r="A198" s="308" t="s">
        <v>920</v>
      </c>
      <c r="B198" s="280" t="s">
        <v>163</v>
      </c>
      <c r="C198" s="280" t="s">
        <v>163</v>
      </c>
      <c r="D198" s="279" t="s">
        <v>163</v>
      </c>
      <c r="E198" s="280" t="s">
        <v>163</v>
      </c>
    </row>
    <row r="199" spans="1:5">
      <c r="A199" s="291" t="s">
        <v>163</v>
      </c>
      <c r="B199" s="279" t="s">
        <v>163</v>
      </c>
      <c r="C199" s="279" t="s">
        <v>163</v>
      </c>
      <c r="D199" s="279" t="s">
        <v>163</v>
      </c>
      <c r="E199" s="280" t="s">
        <v>163</v>
      </c>
    </row>
    <row r="200" spans="1:5">
      <c r="A200" s="291" t="s">
        <v>163</v>
      </c>
      <c r="B200" s="279" t="s">
        <v>163</v>
      </c>
      <c r="C200" s="279" t="s">
        <v>163</v>
      </c>
      <c r="D200" s="279" t="s">
        <v>163</v>
      </c>
      <c r="E200" s="280" t="s">
        <v>163</v>
      </c>
    </row>
    <row r="201" spans="1:5" ht="198">
      <c r="A201" s="308" t="s">
        <v>921</v>
      </c>
      <c r="B201" s="280" t="s">
        <v>163</v>
      </c>
      <c r="C201" s="280" t="s">
        <v>163</v>
      </c>
      <c r="D201" s="279" t="s">
        <v>163</v>
      </c>
      <c r="E201" s="280" t="s">
        <v>163</v>
      </c>
    </row>
    <row r="202" spans="1:5">
      <c r="A202" s="309" t="s">
        <v>905</v>
      </c>
      <c r="B202" s="310" t="s">
        <v>163</v>
      </c>
      <c r="C202" s="310" t="s">
        <v>163</v>
      </c>
      <c r="D202" s="279" t="s">
        <v>163</v>
      </c>
      <c r="E202" s="280" t="s">
        <v>163</v>
      </c>
    </row>
    <row r="203" spans="1:5">
      <c r="A203" s="282" t="s">
        <v>163</v>
      </c>
      <c r="B203" s="280" t="s">
        <v>163</v>
      </c>
      <c r="C203" s="280" t="s">
        <v>163</v>
      </c>
      <c r="D203" s="279" t="s">
        <v>163</v>
      </c>
      <c r="E203" s="280" t="s">
        <v>163</v>
      </c>
    </row>
  </sheetData>
  <mergeCells count="1">
    <mergeCell ref="A1:D1"/>
  </mergeCells>
  <hyperlinks>
    <hyperlink ref="A202" r:id="rId1" xr:uid="{701C2AC0-D605-4B04-A586-A8FD83D946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AD29-06BE-41EB-BACE-EEE215B30D9E}">
  <dimension ref="A1:Q41"/>
  <sheetViews>
    <sheetView workbookViewId="0">
      <selection activeCell="C9" sqref="C9"/>
    </sheetView>
  </sheetViews>
  <sheetFormatPr defaultRowHeight="15"/>
  <cols>
    <col min="2" max="2" width="23.85546875" customWidth="1"/>
    <col min="3" max="3" width="21.7109375" customWidth="1"/>
    <col min="4" max="4" width="21.5703125" customWidth="1"/>
    <col min="5" max="5" width="22.42578125" customWidth="1"/>
  </cols>
  <sheetData>
    <row r="1" spans="1:17">
      <c r="A1" s="106"/>
      <c r="B1" s="107" t="s">
        <v>922</v>
      </c>
      <c r="C1" s="107" t="s">
        <v>164</v>
      </c>
      <c r="D1" s="108" t="s">
        <v>176</v>
      </c>
      <c r="E1" s="107" t="s">
        <v>923</v>
      </c>
      <c r="F1" s="106"/>
      <c r="G1" s="106"/>
      <c r="H1" s="106"/>
      <c r="I1" s="106"/>
      <c r="J1" s="106"/>
      <c r="K1" s="106"/>
      <c r="L1" s="106"/>
      <c r="M1" s="106"/>
      <c r="N1" s="106"/>
      <c r="O1" s="106"/>
      <c r="P1" s="106"/>
      <c r="Q1" s="106"/>
    </row>
    <row r="2" spans="1:17">
      <c r="A2" s="106"/>
      <c r="B2" s="373" t="s">
        <v>924</v>
      </c>
      <c r="C2" s="109" t="s">
        <v>925</v>
      </c>
      <c r="D2" s="110" t="s">
        <v>926</v>
      </c>
      <c r="E2" s="109" t="s">
        <v>284</v>
      </c>
      <c r="F2" s="106"/>
      <c r="G2" s="106"/>
      <c r="H2" s="106"/>
      <c r="I2" s="106"/>
      <c r="J2" s="106"/>
      <c r="K2" s="106"/>
      <c r="L2" s="106"/>
      <c r="M2" s="106"/>
      <c r="N2" s="106"/>
      <c r="O2" s="106"/>
      <c r="P2" s="106"/>
      <c r="Q2" s="106"/>
    </row>
    <row r="3" spans="1:17">
      <c r="A3" s="106"/>
      <c r="B3" s="373"/>
      <c r="C3" s="109" t="s">
        <v>927</v>
      </c>
      <c r="D3" s="110" t="s">
        <v>928</v>
      </c>
      <c r="E3" s="109" t="s">
        <v>284</v>
      </c>
      <c r="F3" s="106"/>
      <c r="G3" s="111"/>
      <c r="H3" s="106"/>
      <c r="I3" s="106"/>
      <c r="J3" s="106"/>
      <c r="K3" s="106"/>
      <c r="L3" s="106"/>
      <c r="M3" s="106"/>
      <c r="N3" s="106"/>
      <c r="O3" s="106"/>
      <c r="P3" s="106"/>
      <c r="Q3" s="106"/>
    </row>
    <row r="4" spans="1:17">
      <c r="A4" s="106"/>
      <c r="B4" s="373"/>
      <c r="C4" s="109" t="s">
        <v>929</v>
      </c>
      <c r="D4" s="110" t="s">
        <v>928</v>
      </c>
      <c r="E4" s="109" t="s">
        <v>284</v>
      </c>
      <c r="F4" s="106"/>
      <c r="G4" s="112"/>
      <c r="H4" s="372" t="s">
        <v>930</v>
      </c>
      <c r="I4" s="372"/>
      <c r="J4" s="372"/>
      <c r="K4" s="372"/>
      <c r="L4" s="372"/>
      <c r="M4" s="372"/>
      <c r="N4" s="372"/>
      <c r="O4" s="372"/>
      <c r="P4" s="372"/>
      <c r="Q4" s="106"/>
    </row>
    <row r="5" spans="1:17">
      <c r="A5" s="106"/>
      <c r="B5" s="373"/>
      <c r="C5" s="109" t="s">
        <v>931</v>
      </c>
      <c r="D5" s="110" t="s">
        <v>928</v>
      </c>
      <c r="E5" s="109" t="s">
        <v>284</v>
      </c>
      <c r="F5" s="106"/>
      <c r="G5" s="112"/>
      <c r="H5" s="372"/>
      <c r="I5" s="372"/>
      <c r="J5" s="372"/>
      <c r="K5" s="372"/>
      <c r="L5" s="372"/>
      <c r="M5" s="372"/>
      <c r="N5" s="372"/>
      <c r="O5" s="372"/>
      <c r="P5" s="372"/>
      <c r="Q5" s="106"/>
    </row>
    <row r="6" spans="1:17">
      <c r="A6" s="106"/>
      <c r="B6" s="373"/>
      <c r="C6" s="109" t="s">
        <v>932</v>
      </c>
      <c r="D6" s="110" t="s">
        <v>926</v>
      </c>
      <c r="E6" s="109" t="s">
        <v>284</v>
      </c>
      <c r="F6" s="106"/>
      <c r="G6" s="106"/>
      <c r="H6" s="372"/>
      <c r="I6" s="372"/>
      <c r="J6" s="372"/>
      <c r="K6" s="372"/>
      <c r="L6" s="372"/>
      <c r="M6" s="372"/>
      <c r="N6" s="372"/>
      <c r="O6" s="372"/>
      <c r="P6" s="372"/>
      <c r="Q6" s="106"/>
    </row>
    <row r="7" spans="1:17" ht="30">
      <c r="A7" s="106"/>
      <c r="B7" s="373"/>
      <c r="C7" s="109" t="s">
        <v>933</v>
      </c>
      <c r="D7" s="110" t="s">
        <v>934</v>
      </c>
      <c r="E7" s="109" t="s">
        <v>284</v>
      </c>
      <c r="F7" s="106"/>
      <c r="G7" s="106"/>
      <c r="H7" s="106"/>
      <c r="I7" s="106"/>
      <c r="J7" s="106"/>
      <c r="K7" s="106"/>
      <c r="L7" s="106"/>
      <c r="M7" s="106"/>
      <c r="N7" s="106"/>
      <c r="O7" s="106"/>
      <c r="P7" s="106"/>
      <c r="Q7" s="106"/>
    </row>
    <row r="8" spans="1:17" ht="30">
      <c r="A8" s="106"/>
      <c r="B8" s="373"/>
      <c r="C8" s="109" t="s">
        <v>935</v>
      </c>
      <c r="D8" s="110" t="s">
        <v>936</v>
      </c>
      <c r="E8" s="109" t="s">
        <v>284</v>
      </c>
      <c r="F8" s="106"/>
      <c r="G8" s="106"/>
      <c r="H8" s="106"/>
      <c r="I8" s="106"/>
      <c r="J8" s="106"/>
      <c r="K8" s="106"/>
      <c r="L8" s="106"/>
      <c r="M8" s="106"/>
      <c r="N8" s="106"/>
      <c r="O8" s="106"/>
      <c r="P8" s="106"/>
      <c r="Q8" s="106"/>
    </row>
    <row r="9" spans="1:17" ht="30">
      <c r="A9" s="106"/>
      <c r="B9" s="373" t="s">
        <v>937</v>
      </c>
      <c r="C9" s="113" t="s">
        <v>938</v>
      </c>
      <c r="D9" s="113" t="s">
        <v>939</v>
      </c>
      <c r="E9" s="109" t="s">
        <v>940</v>
      </c>
      <c r="F9" s="106"/>
      <c r="G9" s="106"/>
      <c r="H9" s="106"/>
      <c r="I9" s="106"/>
      <c r="J9" s="106"/>
      <c r="K9" s="106"/>
      <c r="L9" s="106"/>
      <c r="M9" s="106"/>
      <c r="N9" s="106"/>
      <c r="O9" s="106"/>
      <c r="P9" s="106"/>
      <c r="Q9" s="106"/>
    </row>
    <row r="10" spans="1:17" ht="30">
      <c r="A10" s="106"/>
      <c r="B10" s="373"/>
      <c r="C10" s="113" t="s">
        <v>941</v>
      </c>
      <c r="D10" s="113" t="s">
        <v>942</v>
      </c>
      <c r="E10" s="110" t="s">
        <v>943</v>
      </c>
      <c r="F10" s="106"/>
      <c r="G10" s="106"/>
      <c r="H10" s="106"/>
      <c r="I10" s="106"/>
      <c r="J10" s="106"/>
      <c r="K10" s="106"/>
      <c r="L10" s="106"/>
      <c r="M10" s="106"/>
      <c r="N10" s="106"/>
      <c r="O10" s="106"/>
      <c r="P10" s="106"/>
      <c r="Q10" s="106"/>
    </row>
    <row r="11" spans="1:17" ht="30">
      <c r="A11" s="106"/>
      <c r="B11" s="373"/>
      <c r="C11" s="114" t="s">
        <v>944</v>
      </c>
      <c r="D11" s="113" t="s">
        <v>945</v>
      </c>
      <c r="E11" s="110" t="s">
        <v>946</v>
      </c>
      <c r="F11" s="106"/>
      <c r="G11" s="106"/>
      <c r="H11" s="106"/>
      <c r="I11" s="106"/>
      <c r="J11" s="106"/>
      <c r="K11" s="106"/>
      <c r="L11" s="106"/>
      <c r="M11" s="106"/>
      <c r="N11" s="106"/>
      <c r="O11" s="106"/>
      <c r="P11" s="106"/>
      <c r="Q11" s="106"/>
    </row>
    <row r="12" spans="1:17" ht="30">
      <c r="A12" s="106"/>
      <c r="B12" s="215" t="s">
        <v>947</v>
      </c>
      <c r="C12" s="114" t="s">
        <v>948</v>
      </c>
      <c r="D12" s="113" t="s">
        <v>949</v>
      </c>
      <c r="E12" s="110" t="s">
        <v>950</v>
      </c>
      <c r="F12" s="106"/>
      <c r="G12" s="106"/>
      <c r="H12" s="106"/>
      <c r="I12" s="106"/>
      <c r="J12" s="106"/>
      <c r="K12" s="106"/>
      <c r="L12" s="106"/>
      <c r="M12" s="106"/>
      <c r="N12" s="106"/>
      <c r="O12" s="106"/>
      <c r="P12" s="106"/>
      <c r="Q12" s="106"/>
    </row>
    <row r="13" spans="1:17" ht="75">
      <c r="A13" s="106"/>
      <c r="B13" s="215" t="s">
        <v>951</v>
      </c>
      <c r="C13" s="114" t="s">
        <v>952</v>
      </c>
      <c r="D13" s="113" t="s">
        <v>953</v>
      </c>
      <c r="E13" s="110" t="s">
        <v>954</v>
      </c>
      <c r="F13" s="106"/>
      <c r="G13" s="106"/>
      <c r="H13" s="106"/>
      <c r="I13" s="106"/>
      <c r="J13" s="106"/>
      <c r="K13" s="106"/>
      <c r="L13" s="106"/>
      <c r="M13" s="106"/>
      <c r="N13" s="106"/>
      <c r="O13" s="106"/>
      <c r="P13" s="106"/>
      <c r="Q13" s="106"/>
    </row>
    <row r="14" spans="1:17" ht="210">
      <c r="A14" s="106"/>
      <c r="B14" s="373" t="s">
        <v>955</v>
      </c>
      <c r="C14" s="113" t="s">
        <v>956</v>
      </c>
      <c r="D14" s="113" t="s">
        <v>957</v>
      </c>
      <c r="E14" s="110" t="s">
        <v>958</v>
      </c>
      <c r="F14" s="106"/>
      <c r="G14" s="106"/>
      <c r="H14" s="106"/>
      <c r="I14" s="106"/>
      <c r="J14" s="106"/>
      <c r="K14" s="106"/>
      <c r="L14" s="106"/>
      <c r="M14" s="106"/>
      <c r="N14" s="106"/>
      <c r="O14" s="106"/>
      <c r="P14" s="106"/>
      <c r="Q14" s="106"/>
    </row>
    <row r="15" spans="1:17" ht="180">
      <c r="A15" s="106"/>
      <c r="B15" s="373"/>
      <c r="C15" s="114" t="s">
        <v>959</v>
      </c>
      <c r="D15" s="113" t="s">
        <v>960</v>
      </c>
      <c r="E15" s="110" t="s">
        <v>961</v>
      </c>
      <c r="F15" s="106"/>
      <c r="G15" s="106"/>
      <c r="H15" s="106"/>
      <c r="I15" s="106"/>
      <c r="J15" s="106"/>
      <c r="K15" s="106"/>
      <c r="L15" s="106"/>
      <c r="M15" s="106"/>
      <c r="N15" s="106"/>
      <c r="O15" s="106"/>
      <c r="P15" s="106"/>
      <c r="Q15" s="106"/>
    </row>
    <row r="16" spans="1:17" ht="195">
      <c r="A16" s="106"/>
      <c r="B16" s="373"/>
      <c r="C16" s="113" t="s">
        <v>962</v>
      </c>
      <c r="D16" s="113" t="s">
        <v>963</v>
      </c>
      <c r="E16" s="110" t="s">
        <v>964</v>
      </c>
      <c r="F16" s="106"/>
      <c r="G16" s="106"/>
      <c r="H16" s="106"/>
      <c r="I16" s="106"/>
      <c r="J16" s="106"/>
      <c r="K16" s="106"/>
      <c r="L16" s="106"/>
      <c r="M16" s="106"/>
      <c r="N16" s="106"/>
      <c r="O16" s="106"/>
      <c r="P16" s="106"/>
      <c r="Q16" s="106"/>
    </row>
    <row r="17" spans="1:17" ht="120">
      <c r="A17" s="106"/>
      <c r="B17" s="373"/>
      <c r="C17" s="113" t="s">
        <v>965</v>
      </c>
      <c r="D17" s="113" t="s">
        <v>966</v>
      </c>
      <c r="E17" s="110" t="s">
        <v>967</v>
      </c>
      <c r="F17" s="106"/>
      <c r="G17" s="106"/>
      <c r="H17" s="106"/>
      <c r="I17" s="106"/>
      <c r="J17" s="106"/>
      <c r="K17" s="106"/>
      <c r="L17" s="106"/>
      <c r="M17" s="106"/>
      <c r="N17" s="106"/>
      <c r="O17" s="106"/>
      <c r="P17" s="106"/>
      <c r="Q17" s="106"/>
    </row>
    <row r="18" spans="1:17" ht="285">
      <c r="A18" s="106"/>
      <c r="B18" s="215" t="s">
        <v>968</v>
      </c>
      <c r="C18" s="113" t="s">
        <v>969</v>
      </c>
      <c r="D18" s="113" t="s">
        <v>970</v>
      </c>
      <c r="E18" s="110" t="s">
        <v>971</v>
      </c>
      <c r="F18" s="106"/>
      <c r="G18" s="106"/>
      <c r="H18" s="106"/>
      <c r="I18" s="106"/>
      <c r="J18" s="106"/>
      <c r="K18" s="106"/>
      <c r="L18" s="106"/>
      <c r="M18" s="106"/>
      <c r="N18" s="106"/>
      <c r="O18" s="106"/>
      <c r="P18" s="106"/>
      <c r="Q18" s="106"/>
    </row>
    <row r="19" spans="1:17" ht="30">
      <c r="A19" s="106"/>
      <c r="B19" s="373" t="s">
        <v>972</v>
      </c>
      <c r="C19" s="114" t="s">
        <v>973</v>
      </c>
      <c r="D19" s="113" t="s">
        <v>974</v>
      </c>
      <c r="E19" s="109" t="s">
        <v>975</v>
      </c>
      <c r="F19" s="106"/>
      <c r="G19" s="106"/>
      <c r="H19" s="106"/>
      <c r="I19" s="106"/>
      <c r="J19" s="106"/>
      <c r="K19" s="106"/>
      <c r="L19" s="106"/>
      <c r="M19" s="106"/>
      <c r="N19" s="106"/>
      <c r="O19" s="106"/>
      <c r="P19" s="106"/>
      <c r="Q19" s="106"/>
    </row>
    <row r="20" spans="1:17" ht="30">
      <c r="A20" s="106"/>
      <c r="B20" s="373"/>
      <c r="C20" s="113" t="s">
        <v>976</v>
      </c>
      <c r="D20" s="110" t="s">
        <v>977</v>
      </c>
      <c r="E20" s="109" t="s">
        <v>978</v>
      </c>
      <c r="F20" s="106"/>
      <c r="G20" s="106"/>
      <c r="H20" s="106"/>
      <c r="I20" s="106"/>
      <c r="J20" s="106"/>
      <c r="K20" s="106"/>
      <c r="L20" s="106"/>
      <c r="M20" s="106"/>
      <c r="N20" s="106"/>
      <c r="O20" s="106"/>
      <c r="P20" s="106"/>
      <c r="Q20" s="106"/>
    </row>
    <row r="21" spans="1:17" ht="90">
      <c r="A21" s="106"/>
      <c r="B21" s="374" t="s">
        <v>979</v>
      </c>
      <c r="C21" s="115" t="s">
        <v>980</v>
      </c>
      <c r="D21" s="116" t="s">
        <v>981</v>
      </c>
      <c r="E21" s="116" t="s">
        <v>982</v>
      </c>
      <c r="F21" s="106"/>
      <c r="G21" s="106"/>
      <c r="H21" s="106"/>
      <c r="I21" s="106"/>
      <c r="J21" s="106"/>
      <c r="K21" s="106"/>
      <c r="L21" s="106"/>
      <c r="M21" s="106"/>
      <c r="N21" s="106"/>
      <c r="O21" s="106"/>
      <c r="P21" s="106"/>
      <c r="Q21" s="106"/>
    </row>
    <row r="22" spans="1:17" ht="45">
      <c r="A22" s="106"/>
      <c r="B22" s="374"/>
      <c r="C22" s="115" t="s">
        <v>983</v>
      </c>
      <c r="D22" s="116" t="s">
        <v>984</v>
      </c>
      <c r="E22" s="116" t="s">
        <v>985</v>
      </c>
      <c r="F22" s="106"/>
      <c r="G22" s="106"/>
      <c r="H22" s="106"/>
      <c r="I22" s="106"/>
      <c r="J22" s="106"/>
      <c r="K22" s="106"/>
      <c r="L22" s="106"/>
      <c r="M22" s="106"/>
      <c r="N22" s="106"/>
      <c r="O22" s="106"/>
      <c r="P22" s="106"/>
      <c r="Q22" s="106"/>
    </row>
    <row r="23" spans="1:17" ht="30">
      <c r="A23" s="106"/>
      <c r="B23" s="374"/>
      <c r="C23" s="115" t="s">
        <v>986</v>
      </c>
      <c r="D23" s="116" t="s">
        <v>987</v>
      </c>
      <c r="E23" s="116" t="s">
        <v>988</v>
      </c>
      <c r="F23" s="106"/>
      <c r="G23" s="106"/>
      <c r="H23" s="106"/>
      <c r="I23" s="106"/>
      <c r="J23" s="106"/>
      <c r="K23" s="106"/>
      <c r="L23" s="106"/>
      <c r="M23" s="106"/>
      <c r="N23" s="106"/>
      <c r="O23" s="106"/>
      <c r="P23" s="106"/>
      <c r="Q23" s="106"/>
    </row>
    <row r="24" spans="1:17" ht="30">
      <c r="A24" s="106"/>
      <c r="B24" s="374" t="s">
        <v>989</v>
      </c>
      <c r="C24" s="115" t="s">
        <v>990</v>
      </c>
      <c r="D24" s="116" t="s">
        <v>991</v>
      </c>
      <c r="E24" s="116" t="s">
        <v>992</v>
      </c>
      <c r="F24" s="106"/>
      <c r="G24" s="106"/>
      <c r="H24" s="106"/>
      <c r="I24" s="106"/>
      <c r="J24" s="106"/>
      <c r="K24" s="106"/>
      <c r="L24" s="106"/>
      <c r="M24" s="106"/>
      <c r="N24" s="106"/>
      <c r="O24" s="106"/>
      <c r="P24" s="106"/>
      <c r="Q24" s="106"/>
    </row>
    <row r="25" spans="1:17" ht="45">
      <c r="A25" s="106"/>
      <c r="B25" s="374"/>
      <c r="C25" s="115" t="s">
        <v>993</v>
      </c>
      <c r="D25" s="116" t="s">
        <v>994</v>
      </c>
      <c r="E25" s="116" t="s">
        <v>995</v>
      </c>
      <c r="F25" s="106"/>
      <c r="G25" s="106"/>
      <c r="H25" s="106"/>
      <c r="I25" s="106"/>
      <c r="J25" s="106"/>
      <c r="K25" s="106"/>
      <c r="L25" s="106"/>
      <c r="M25" s="106"/>
      <c r="N25" s="106"/>
      <c r="O25" s="106"/>
      <c r="P25" s="106"/>
      <c r="Q25" s="106"/>
    </row>
    <row r="26" spans="1:17">
      <c r="A26" s="106"/>
      <c r="B26" s="374"/>
      <c r="C26" s="115" t="s">
        <v>996</v>
      </c>
      <c r="D26" s="116" t="s">
        <v>997</v>
      </c>
      <c r="E26" s="115" t="s">
        <v>998</v>
      </c>
      <c r="F26" s="106"/>
      <c r="G26" s="106"/>
      <c r="H26" s="106"/>
      <c r="I26" s="106"/>
      <c r="J26" s="106"/>
      <c r="K26" s="106"/>
      <c r="L26" s="106"/>
      <c r="M26" s="106"/>
      <c r="N26" s="106"/>
      <c r="O26" s="106"/>
      <c r="P26" s="106"/>
      <c r="Q26" s="106"/>
    </row>
    <row r="27" spans="1:17" ht="75">
      <c r="A27" s="106"/>
      <c r="B27" s="374"/>
      <c r="C27" s="115" t="s">
        <v>999</v>
      </c>
      <c r="D27" s="116" t="s">
        <v>1000</v>
      </c>
      <c r="E27" s="116" t="s">
        <v>1001</v>
      </c>
      <c r="F27" s="106"/>
      <c r="G27" s="106"/>
      <c r="H27" s="106"/>
      <c r="I27" s="106"/>
      <c r="J27" s="106"/>
      <c r="K27" s="106"/>
      <c r="L27" s="106"/>
      <c r="M27" s="106"/>
      <c r="N27" s="106"/>
      <c r="O27" s="106"/>
      <c r="P27" s="106"/>
      <c r="Q27" s="106"/>
    </row>
    <row r="28" spans="1:17" ht="30">
      <c r="A28" s="106"/>
      <c r="B28" s="374" t="s">
        <v>1002</v>
      </c>
      <c r="C28" s="117" t="s">
        <v>1003</v>
      </c>
      <c r="D28" s="116" t="s">
        <v>1004</v>
      </c>
      <c r="E28" s="115" t="s">
        <v>1005</v>
      </c>
      <c r="F28" s="106"/>
      <c r="G28" s="106"/>
      <c r="H28" s="106"/>
      <c r="I28" s="106"/>
      <c r="J28" s="106"/>
      <c r="K28" s="106"/>
      <c r="L28" s="106"/>
      <c r="M28" s="106"/>
      <c r="N28" s="106"/>
      <c r="O28" s="106"/>
      <c r="P28" s="106"/>
      <c r="Q28" s="106"/>
    </row>
    <row r="29" spans="1:17" ht="150">
      <c r="A29" s="106"/>
      <c r="B29" s="374"/>
      <c r="C29" s="117" t="s">
        <v>1006</v>
      </c>
      <c r="D29" s="117" t="s">
        <v>1007</v>
      </c>
      <c r="E29" s="116" t="s">
        <v>1008</v>
      </c>
      <c r="F29" s="106"/>
      <c r="G29" s="106"/>
      <c r="H29" s="106"/>
      <c r="I29" s="106"/>
      <c r="J29" s="106"/>
      <c r="K29" s="106"/>
      <c r="L29" s="106"/>
      <c r="M29" s="106"/>
      <c r="N29" s="106"/>
      <c r="O29" s="106"/>
      <c r="P29" s="106"/>
      <c r="Q29" s="106"/>
    </row>
    <row r="30" spans="1:17" ht="30">
      <c r="A30" s="106"/>
      <c r="B30" s="374"/>
      <c r="C30" s="117" t="s">
        <v>1009</v>
      </c>
      <c r="D30" s="117" t="s">
        <v>1010</v>
      </c>
      <c r="E30" s="115" t="s">
        <v>1011</v>
      </c>
      <c r="F30" s="106"/>
      <c r="G30" s="106"/>
      <c r="H30" s="106"/>
      <c r="I30" s="106"/>
      <c r="J30" s="106"/>
      <c r="K30" s="106"/>
      <c r="L30" s="106"/>
      <c r="M30" s="106"/>
      <c r="N30" s="106"/>
      <c r="O30" s="106"/>
      <c r="P30" s="106"/>
      <c r="Q30" s="106"/>
    </row>
    <row r="31" spans="1:17" ht="30">
      <c r="A31" s="106"/>
      <c r="B31" s="374" t="s">
        <v>1012</v>
      </c>
      <c r="C31" s="117" t="s">
        <v>1013</v>
      </c>
      <c r="D31" s="117" t="s">
        <v>1014</v>
      </c>
      <c r="E31" s="116" t="s">
        <v>1015</v>
      </c>
      <c r="F31" s="106"/>
      <c r="G31" s="106"/>
      <c r="H31" s="106"/>
      <c r="I31" s="106"/>
      <c r="J31" s="106"/>
      <c r="K31" s="106"/>
      <c r="L31" s="106"/>
      <c r="M31" s="106"/>
      <c r="N31" s="106"/>
      <c r="O31" s="106"/>
      <c r="P31" s="106"/>
      <c r="Q31" s="106"/>
    </row>
    <row r="32" spans="1:17" ht="60">
      <c r="A32" s="106"/>
      <c r="B32" s="374"/>
      <c r="C32" s="117" t="s">
        <v>1016</v>
      </c>
      <c r="D32" s="117" t="s">
        <v>1017</v>
      </c>
      <c r="E32" s="115" t="s">
        <v>1018</v>
      </c>
      <c r="F32" s="106"/>
      <c r="G32" s="106"/>
      <c r="H32" s="106"/>
      <c r="I32" s="106"/>
      <c r="J32" s="106"/>
      <c r="K32" s="106"/>
      <c r="L32" s="106"/>
      <c r="M32" s="106"/>
      <c r="N32" s="106"/>
      <c r="O32" s="106"/>
      <c r="P32" s="106"/>
      <c r="Q32" s="106"/>
    </row>
    <row r="33" spans="1:17" ht="45">
      <c r="A33" s="106"/>
      <c r="B33" s="374"/>
      <c r="C33" s="117" t="s">
        <v>1019</v>
      </c>
      <c r="D33" s="117" t="s">
        <v>1020</v>
      </c>
      <c r="E33" s="115" t="s">
        <v>1018</v>
      </c>
      <c r="F33" s="106"/>
      <c r="G33" s="106"/>
      <c r="H33" s="106"/>
      <c r="I33" s="106"/>
      <c r="J33" s="106"/>
      <c r="K33" s="106"/>
      <c r="L33" s="106"/>
      <c r="M33" s="106"/>
      <c r="N33" s="106"/>
      <c r="O33" s="106"/>
      <c r="P33" s="106"/>
      <c r="Q33" s="106"/>
    </row>
    <row r="34" spans="1:17" ht="30">
      <c r="A34" s="106"/>
      <c r="B34" s="374"/>
      <c r="C34" s="117" t="s">
        <v>1021</v>
      </c>
      <c r="D34" s="117" t="s">
        <v>1022</v>
      </c>
      <c r="E34" s="115" t="s">
        <v>1023</v>
      </c>
      <c r="F34" s="106"/>
      <c r="G34" s="106"/>
      <c r="H34" s="106"/>
      <c r="I34" s="106"/>
      <c r="J34" s="106"/>
      <c r="K34" s="106"/>
      <c r="L34" s="106"/>
      <c r="M34" s="106"/>
      <c r="N34" s="106"/>
      <c r="O34" s="106"/>
      <c r="P34" s="106"/>
      <c r="Q34" s="106"/>
    </row>
    <row r="35" spans="1:17" ht="150">
      <c r="A35" s="106"/>
      <c r="B35" s="374"/>
      <c r="C35" s="117" t="s">
        <v>1024</v>
      </c>
      <c r="D35" s="117" t="s">
        <v>1025</v>
      </c>
      <c r="E35" s="116" t="s">
        <v>1026</v>
      </c>
      <c r="F35" s="106"/>
      <c r="G35" s="106"/>
      <c r="H35" s="106"/>
      <c r="I35" s="106"/>
      <c r="J35" s="106"/>
      <c r="K35" s="106"/>
      <c r="L35" s="106"/>
      <c r="M35" s="106"/>
      <c r="N35" s="106"/>
      <c r="O35" s="106"/>
      <c r="P35" s="106"/>
      <c r="Q35" s="106"/>
    </row>
    <row r="36" spans="1:17" ht="45">
      <c r="A36" s="106"/>
      <c r="B36" s="375" t="s">
        <v>1027</v>
      </c>
      <c r="C36" s="216" t="s">
        <v>1028</v>
      </c>
      <c r="D36" s="117" t="s">
        <v>1029</v>
      </c>
      <c r="E36" s="118" t="s">
        <v>1030</v>
      </c>
      <c r="F36" s="106"/>
      <c r="G36" s="106"/>
      <c r="H36" s="106"/>
      <c r="I36" s="106"/>
      <c r="J36" s="106"/>
      <c r="K36" s="106"/>
      <c r="L36" s="106"/>
      <c r="M36" s="106"/>
      <c r="N36" s="106"/>
      <c r="O36" s="106"/>
      <c r="P36" s="106"/>
      <c r="Q36" s="106"/>
    </row>
    <row r="37" spans="1:17">
      <c r="A37" s="106"/>
      <c r="B37" s="376"/>
      <c r="C37" s="216" t="s">
        <v>1031</v>
      </c>
      <c r="D37" s="118" t="s">
        <v>947</v>
      </c>
      <c r="E37" s="118" t="s">
        <v>1032</v>
      </c>
      <c r="F37" s="106"/>
      <c r="G37" s="106"/>
      <c r="H37" s="106"/>
      <c r="I37" s="106"/>
      <c r="J37" s="106"/>
      <c r="K37" s="106"/>
      <c r="L37" s="106"/>
      <c r="M37" s="106"/>
      <c r="N37" s="106"/>
      <c r="O37" s="106"/>
      <c r="P37" s="106"/>
      <c r="Q37" s="106"/>
    </row>
    <row r="38" spans="1:17">
      <c r="A38" s="106"/>
      <c r="B38" s="376"/>
      <c r="C38" s="216" t="s">
        <v>1033</v>
      </c>
      <c r="D38" s="118" t="s">
        <v>1034</v>
      </c>
      <c r="E38" s="118" t="s">
        <v>1035</v>
      </c>
      <c r="F38" s="106"/>
      <c r="G38" s="106"/>
      <c r="H38" s="106"/>
      <c r="I38" s="106"/>
      <c r="J38" s="106"/>
      <c r="K38" s="106"/>
      <c r="L38" s="106"/>
      <c r="M38" s="106"/>
      <c r="N38" s="106"/>
      <c r="O38" s="106"/>
      <c r="P38" s="106"/>
      <c r="Q38" s="106"/>
    </row>
    <row r="39" spans="1:17">
      <c r="A39" s="106"/>
      <c r="B39" s="376"/>
      <c r="C39" s="217" t="s">
        <v>1036</v>
      </c>
      <c r="D39" s="119" t="s">
        <v>1037</v>
      </c>
      <c r="E39" s="118" t="s">
        <v>1038</v>
      </c>
      <c r="F39" s="106"/>
      <c r="G39" s="106"/>
      <c r="H39" s="106"/>
      <c r="I39" s="106"/>
      <c r="J39" s="106"/>
      <c r="K39" s="106"/>
      <c r="L39" s="106"/>
      <c r="M39" s="106"/>
      <c r="N39" s="106"/>
      <c r="O39" s="106"/>
      <c r="P39" s="106"/>
      <c r="Q39" s="106"/>
    </row>
    <row r="40" spans="1:17">
      <c r="A40" s="106"/>
      <c r="B40" s="376"/>
      <c r="C40" s="216" t="s">
        <v>1039</v>
      </c>
      <c r="D40" s="118" t="s">
        <v>1040</v>
      </c>
      <c r="E40" s="118" t="s">
        <v>1041</v>
      </c>
      <c r="F40" s="106"/>
      <c r="G40" s="106"/>
      <c r="H40" s="106"/>
      <c r="I40" s="106"/>
      <c r="J40" s="106"/>
      <c r="K40" s="106"/>
      <c r="L40" s="106"/>
      <c r="M40" s="106"/>
      <c r="N40" s="106"/>
      <c r="O40" s="106"/>
      <c r="P40" s="106"/>
      <c r="Q40" s="106"/>
    </row>
    <row r="41" spans="1:17">
      <c r="A41" s="106"/>
      <c r="B41" s="106"/>
      <c r="C41" s="106"/>
      <c r="D41" s="106"/>
      <c r="E41" s="106"/>
      <c r="F41" s="106"/>
      <c r="G41" s="106"/>
      <c r="H41" s="106"/>
      <c r="I41" s="106"/>
      <c r="J41" s="106"/>
      <c r="K41" s="106"/>
      <c r="L41" s="106"/>
      <c r="M41" s="106"/>
      <c r="N41" s="106"/>
      <c r="O41" s="106"/>
      <c r="P41" s="106"/>
      <c r="Q41" s="106"/>
    </row>
  </sheetData>
  <mergeCells count="10">
    <mergeCell ref="B24:B27"/>
    <mergeCell ref="B28:B30"/>
    <mergeCell ref="B31:B35"/>
    <mergeCell ref="B36:B40"/>
    <mergeCell ref="B2:B8"/>
    <mergeCell ref="H4:P6"/>
    <mergeCell ref="B9:B11"/>
    <mergeCell ref="B14:B17"/>
    <mergeCell ref="B19:B20"/>
    <mergeCell ref="B21:B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071E-8E69-4EE2-B923-05671D74683C}">
  <dimension ref="A1:D54"/>
  <sheetViews>
    <sheetView topLeftCell="A28" workbookViewId="0">
      <selection activeCell="D33" sqref="D33"/>
    </sheetView>
  </sheetViews>
  <sheetFormatPr defaultRowHeight="15"/>
  <cols>
    <col min="1" max="1" width="26.5703125" customWidth="1"/>
    <col min="2" max="2" width="10.140625" bestFit="1" customWidth="1"/>
    <col min="4" max="4" width="58.42578125" customWidth="1"/>
    <col min="9" max="9" width="29.42578125" customWidth="1"/>
    <col min="10" max="10" width="19.5703125" customWidth="1"/>
  </cols>
  <sheetData>
    <row r="1" spans="1:4">
      <c r="A1" s="211"/>
      <c r="B1" s="211" t="s">
        <v>1042</v>
      </c>
      <c r="C1" s="211" t="s">
        <v>923</v>
      </c>
      <c r="D1" s="211" t="s">
        <v>1043</v>
      </c>
    </row>
    <row r="2" spans="1:4">
      <c r="A2" s="379" t="s">
        <v>937</v>
      </c>
      <c r="B2" s="168" t="s">
        <v>938</v>
      </c>
      <c r="C2" s="169"/>
      <c r="D2" s="170" t="s">
        <v>1044</v>
      </c>
    </row>
    <row r="3" spans="1:4" ht="30.75">
      <c r="A3" s="379"/>
      <c r="B3" s="168" t="s">
        <v>941</v>
      </c>
      <c r="C3" s="171" t="s">
        <v>943</v>
      </c>
      <c r="D3" s="170" t="s">
        <v>1045</v>
      </c>
    </row>
    <row r="4" spans="1:4" ht="30.75">
      <c r="A4" s="379"/>
      <c r="B4" s="172" t="s">
        <v>944</v>
      </c>
      <c r="C4" s="171" t="s">
        <v>946</v>
      </c>
      <c r="D4" s="170" t="s">
        <v>1046</v>
      </c>
    </row>
    <row r="5" spans="1:4" ht="30.75">
      <c r="A5" s="212" t="s">
        <v>947</v>
      </c>
      <c r="B5" s="173" t="s">
        <v>948</v>
      </c>
      <c r="C5" s="174" t="s">
        <v>950</v>
      </c>
      <c r="D5" s="175" t="s">
        <v>1047</v>
      </c>
    </row>
    <row r="6" spans="1:4" ht="76.5">
      <c r="A6" s="213" t="s">
        <v>951</v>
      </c>
      <c r="B6" s="176" t="s">
        <v>952</v>
      </c>
      <c r="C6" s="177" t="s">
        <v>954</v>
      </c>
      <c r="D6" s="178" t="s">
        <v>1048</v>
      </c>
    </row>
    <row r="7" spans="1:4" ht="244.5">
      <c r="A7" s="380" t="s">
        <v>955</v>
      </c>
      <c r="B7" s="182" t="s">
        <v>959</v>
      </c>
      <c r="C7" s="183" t="s">
        <v>961</v>
      </c>
      <c r="D7" s="184" t="s">
        <v>1049</v>
      </c>
    </row>
    <row r="8" spans="1:4" ht="321">
      <c r="A8" s="380"/>
      <c r="B8" s="185" t="s">
        <v>956</v>
      </c>
      <c r="C8" s="186" t="s">
        <v>1050</v>
      </c>
      <c r="D8" s="187" t="s">
        <v>68</v>
      </c>
    </row>
    <row r="9" spans="1:4" ht="290.25">
      <c r="A9" s="380"/>
      <c r="B9" s="185" t="s">
        <v>962</v>
      </c>
      <c r="C9" s="186" t="s">
        <v>964</v>
      </c>
      <c r="D9" s="188" t="s">
        <v>24</v>
      </c>
    </row>
    <row r="10" spans="1:4" ht="167.25">
      <c r="A10" s="380"/>
      <c r="B10" s="185" t="s">
        <v>965</v>
      </c>
      <c r="C10" s="186" t="s">
        <v>967</v>
      </c>
      <c r="D10" s="184" t="s">
        <v>1051</v>
      </c>
    </row>
    <row r="11" spans="1:4" ht="290.25">
      <c r="A11" s="214" t="s">
        <v>968</v>
      </c>
      <c r="B11" s="179" t="s">
        <v>969</v>
      </c>
      <c r="C11" s="180" t="s">
        <v>971</v>
      </c>
      <c r="D11" s="181" t="s">
        <v>1052</v>
      </c>
    </row>
    <row r="12" spans="1:4">
      <c r="A12" s="381" t="s">
        <v>972</v>
      </c>
      <c r="B12" s="189" t="s">
        <v>973</v>
      </c>
      <c r="C12" s="190" t="s">
        <v>975</v>
      </c>
      <c r="D12" s="191" t="s">
        <v>1053</v>
      </c>
    </row>
    <row r="13" spans="1:4">
      <c r="A13" s="381"/>
      <c r="B13" s="192" t="s">
        <v>976</v>
      </c>
      <c r="C13" s="190" t="s">
        <v>978</v>
      </c>
      <c r="D13" s="191"/>
    </row>
    <row r="14" spans="1:4" ht="91.5">
      <c r="A14" s="382" t="s">
        <v>979</v>
      </c>
      <c r="B14" s="193" t="s">
        <v>980</v>
      </c>
      <c r="C14" s="194" t="s">
        <v>982</v>
      </c>
      <c r="D14" s="195"/>
    </row>
    <row r="15" spans="1:4" ht="76.5">
      <c r="A15" s="382"/>
      <c r="B15" s="193" t="s">
        <v>983</v>
      </c>
      <c r="C15" s="194" t="s">
        <v>985</v>
      </c>
      <c r="D15" s="195"/>
    </row>
    <row r="16" spans="1:4" ht="30.75">
      <c r="A16" s="382"/>
      <c r="B16" s="193" t="s">
        <v>986</v>
      </c>
      <c r="C16" s="194" t="s">
        <v>988</v>
      </c>
      <c r="D16" s="195"/>
    </row>
    <row r="17" spans="1:4" ht="30.75">
      <c r="A17" s="383" t="s">
        <v>989</v>
      </c>
      <c r="B17" s="196" t="s">
        <v>990</v>
      </c>
      <c r="C17" s="197" t="s">
        <v>992</v>
      </c>
      <c r="D17" s="198"/>
    </row>
    <row r="18" spans="1:4" ht="45.75">
      <c r="A18" s="383"/>
      <c r="B18" s="196" t="s">
        <v>993</v>
      </c>
      <c r="C18" s="197" t="s">
        <v>995</v>
      </c>
      <c r="D18" s="198"/>
    </row>
    <row r="19" spans="1:4">
      <c r="A19" s="383"/>
      <c r="B19" s="196" t="s">
        <v>996</v>
      </c>
      <c r="C19" s="199" t="s">
        <v>998</v>
      </c>
      <c r="D19" s="196"/>
    </row>
    <row r="20" spans="1:4" ht="76.5">
      <c r="A20" s="383"/>
      <c r="B20" s="196" t="s">
        <v>999</v>
      </c>
      <c r="C20" s="197" t="s">
        <v>1001</v>
      </c>
      <c r="D20" s="198"/>
    </row>
    <row r="21" spans="1:4">
      <c r="A21" s="377" t="s">
        <v>1002</v>
      </c>
      <c r="B21" s="200" t="s">
        <v>1003</v>
      </c>
      <c r="C21" s="201" t="s">
        <v>1005</v>
      </c>
      <c r="D21" s="202" t="s">
        <v>1054</v>
      </c>
    </row>
    <row r="22" spans="1:4" ht="152.25">
      <c r="A22" s="377"/>
      <c r="B22" s="200" t="s">
        <v>1006</v>
      </c>
      <c r="C22" s="203" t="s">
        <v>1008</v>
      </c>
      <c r="D22" s="204" t="s">
        <v>1055</v>
      </c>
    </row>
    <row r="23" spans="1:4">
      <c r="A23" s="378"/>
      <c r="B23" s="200" t="s">
        <v>1009</v>
      </c>
      <c r="C23" s="201" t="s">
        <v>1011</v>
      </c>
      <c r="D23" s="202" t="s">
        <v>1056</v>
      </c>
    </row>
    <row r="24" spans="1:4" ht="30.75">
      <c r="A24" s="391" t="s">
        <v>1012</v>
      </c>
      <c r="B24" s="262" t="s">
        <v>1013</v>
      </c>
      <c r="C24" s="205" t="s">
        <v>1015</v>
      </c>
      <c r="D24" s="206"/>
    </row>
    <row r="25" spans="1:4">
      <c r="A25" s="391"/>
      <c r="B25" s="262" t="s">
        <v>1016</v>
      </c>
      <c r="C25" s="208" t="s">
        <v>1018</v>
      </c>
      <c r="D25" s="207"/>
    </row>
    <row r="26" spans="1:4">
      <c r="A26" s="391"/>
      <c r="B26" s="262" t="s">
        <v>1019</v>
      </c>
      <c r="C26" s="208" t="s">
        <v>1018</v>
      </c>
      <c r="D26" s="207"/>
    </row>
    <row r="27" spans="1:4">
      <c r="A27" s="391"/>
      <c r="B27" s="262" t="s">
        <v>1021</v>
      </c>
      <c r="C27" s="208" t="s">
        <v>1023</v>
      </c>
      <c r="D27" s="207" t="s">
        <v>1057</v>
      </c>
    </row>
    <row r="28" spans="1:4" ht="213">
      <c r="A28" s="391"/>
      <c r="B28" s="263" t="s">
        <v>1024</v>
      </c>
      <c r="C28" s="209" t="s">
        <v>1026</v>
      </c>
      <c r="D28" s="210" t="s">
        <v>1058</v>
      </c>
    </row>
    <row r="29" spans="1:4">
      <c r="A29" s="390" t="s">
        <v>1059</v>
      </c>
      <c r="B29" s="264"/>
      <c r="C29" s="243"/>
      <c r="D29" s="243" t="s">
        <v>90</v>
      </c>
    </row>
    <row r="30" spans="1:4">
      <c r="A30" s="390"/>
      <c r="B30" s="264"/>
      <c r="C30" s="243"/>
      <c r="D30" s="243" t="s">
        <v>91</v>
      </c>
    </row>
    <row r="31" spans="1:4">
      <c r="A31" s="390"/>
      <c r="B31" s="264"/>
      <c r="C31" s="243"/>
      <c r="D31" s="243"/>
    </row>
    <row r="32" spans="1:4">
      <c r="A32" s="390"/>
      <c r="B32" s="264"/>
      <c r="C32" s="243"/>
      <c r="D32" s="243"/>
    </row>
    <row r="33" spans="1:4">
      <c r="A33" s="390"/>
      <c r="B33" s="265"/>
      <c r="C33" s="259"/>
      <c r="D33" s="259"/>
    </row>
    <row r="34" spans="1:4">
      <c r="A34" s="384" t="s">
        <v>1060</v>
      </c>
      <c r="B34" s="258"/>
      <c r="C34" s="258"/>
      <c r="D34" s="258" t="s">
        <v>1061</v>
      </c>
    </row>
    <row r="35" spans="1:4">
      <c r="A35" s="384"/>
      <c r="B35" s="258"/>
      <c r="C35" s="258"/>
      <c r="D35" s="258" t="s">
        <v>1062</v>
      </c>
    </row>
    <row r="36" spans="1:4">
      <c r="A36" s="384"/>
      <c r="B36" s="258"/>
      <c r="C36" s="258"/>
      <c r="D36" s="261" t="s">
        <v>1063</v>
      </c>
    </row>
    <row r="37" spans="1:4">
      <c r="A37" s="384"/>
      <c r="B37" s="261"/>
      <c r="C37" s="261"/>
      <c r="D37" s="261" t="s">
        <v>12</v>
      </c>
    </row>
    <row r="38" spans="1:4">
      <c r="A38" s="384"/>
      <c r="B38" s="261"/>
      <c r="C38" s="261"/>
      <c r="D38" s="261" t="s">
        <v>1064</v>
      </c>
    </row>
    <row r="39" spans="1:4">
      <c r="A39" s="384"/>
      <c r="B39" s="261"/>
      <c r="C39" s="261"/>
      <c r="D39" s="261"/>
    </row>
    <row r="40" spans="1:4">
      <c r="A40" s="384"/>
      <c r="B40" s="261"/>
      <c r="C40" s="261"/>
      <c r="D40" s="261"/>
    </row>
    <row r="41" spans="1:4">
      <c r="A41" s="384"/>
      <c r="B41" s="261"/>
      <c r="C41" s="261"/>
      <c r="D41" s="261"/>
    </row>
    <row r="42" spans="1:4">
      <c r="A42" s="384"/>
      <c r="B42" s="261"/>
      <c r="C42" s="261"/>
      <c r="D42" s="261"/>
    </row>
    <row r="43" spans="1:4">
      <c r="A43" s="384"/>
      <c r="B43" s="261"/>
      <c r="C43" s="261"/>
      <c r="D43" s="261"/>
    </row>
    <row r="44" spans="1:4">
      <c r="A44" s="385" t="s">
        <v>1065</v>
      </c>
      <c r="B44" s="260"/>
      <c r="C44" s="260"/>
      <c r="D44" s="260" t="s">
        <v>1066</v>
      </c>
    </row>
    <row r="45" spans="1:4">
      <c r="A45" s="386"/>
      <c r="B45" s="260"/>
      <c r="C45" s="260"/>
      <c r="D45" s="260" t="s">
        <v>1067</v>
      </c>
    </row>
    <row r="46" spans="1:4">
      <c r="A46" s="386"/>
      <c r="B46" s="260"/>
      <c r="C46" s="260"/>
      <c r="D46" s="260" t="s">
        <v>1068</v>
      </c>
    </row>
    <row r="47" spans="1:4">
      <c r="A47" s="386"/>
      <c r="B47" s="260"/>
      <c r="C47" s="260"/>
      <c r="D47" s="260" t="s">
        <v>1069</v>
      </c>
    </row>
    <row r="48" spans="1:4">
      <c r="A48" s="386"/>
      <c r="B48" s="260"/>
      <c r="C48" s="260"/>
      <c r="D48" s="260"/>
    </row>
    <row r="49" spans="1:4">
      <c r="A49" s="386"/>
      <c r="B49" s="260"/>
      <c r="C49" s="260"/>
      <c r="D49" s="260"/>
    </row>
    <row r="50" spans="1:4">
      <c r="A50" s="386"/>
      <c r="B50" s="267"/>
      <c r="C50" s="267"/>
      <c r="D50" s="267"/>
    </row>
    <row r="51" spans="1:4">
      <c r="A51" s="387" t="s">
        <v>1070</v>
      </c>
      <c r="B51" s="266"/>
      <c r="C51" s="266"/>
      <c r="D51" s="266" t="s">
        <v>93</v>
      </c>
    </row>
    <row r="52" spans="1:4">
      <c r="A52" s="388"/>
      <c r="B52" s="266"/>
      <c r="C52" s="266"/>
      <c r="D52" s="266"/>
    </row>
    <row r="53" spans="1:4">
      <c r="A53" s="388"/>
      <c r="B53" s="266"/>
      <c r="C53" s="266"/>
      <c r="D53" s="266"/>
    </row>
    <row r="54" spans="1:4">
      <c r="A54" s="389"/>
      <c r="B54" s="266"/>
      <c r="C54" s="266"/>
      <c r="D54" s="266"/>
    </row>
  </sheetData>
  <mergeCells count="11">
    <mergeCell ref="A34:A43"/>
    <mergeCell ref="A44:A50"/>
    <mergeCell ref="A51:A54"/>
    <mergeCell ref="A29:A33"/>
    <mergeCell ref="A24:A28"/>
    <mergeCell ref="A21:A23"/>
    <mergeCell ref="A2:A4"/>
    <mergeCell ref="A7:A10"/>
    <mergeCell ref="A12:A13"/>
    <mergeCell ref="A14:A16"/>
    <mergeCell ref="A17:A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61"/>
  <sheetViews>
    <sheetView tabSelected="1" workbookViewId="0">
      <pane xSplit="1" topLeftCell="B1" activePane="topRight" state="frozen"/>
      <selection pane="topRight" activeCell="A64" sqref="A64:XFD64"/>
    </sheetView>
  </sheetViews>
  <sheetFormatPr defaultColWidth="9.140625" defaultRowHeight="15"/>
  <cols>
    <col min="1" max="1" width="61.5703125" style="6" bestFit="1" customWidth="1"/>
    <col min="2" max="2" width="61.5703125" style="6" customWidth="1"/>
    <col min="3" max="3" width="62.85546875" style="5" customWidth="1"/>
    <col min="4" max="4" width="10.85546875" style="5" hidden="1" customWidth="1"/>
    <col min="5" max="5" width="32.85546875" style="6" hidden="1" customWidth="1"/>
    <col min="6" max="6" width="12.140625" style="6" customWidth="1"/>
    <col min="7" max="7" width="32.7109375" style="6" customWidth="1"/>
    <col min="8" max="8" width="25.85546875" style="6" customWidth="1"/>
    <col min="9" max="9" width="26.7109375" style="6" customWidth="1"/>
    <col min="10" max="10" width="4.42578125" style="6" customWidth="1"/>
    <col min="11" max="11" width="3.42578125" style="6" customWidth="1"/>
    <col min="12" max="12" width="8" style="6" customWidth="1"/>
    <col min="13" max="13" width="13.42578125" style="6" customWidth="1"/>
    <col min="14" max="14" width="11.7109375" style="6" customWidth="1"/>
    <col min="15" max="15" width="21.85546875" style="6" customWidth="1"/>
    <col min="16" max="16" width="15.28515625" style="6" customWidth="1"/>
    <col min="17" max="17" width="24.7109375" style="6" customWidth="1"/>
    <col min="18" max="18" width="25.28515625" style="6" customWidth="1"/>
    <col min="19" max="19" width="8.85546875" style="6" customWidth="1"/>
    <col min="20" max="20" width="11.140625" style="6" customWidth="1"/>
    <col min="21" max="21" width="14.85546875" style="6" customWidth="1"/>
    <col min="22" max="22" width="13.5703125" style="6" customWidth="1"/>
    <col min="23" max="23" width="27.5703125" style="6" customWidth="1"/>
    <col min="24" max="24" width="141.5703125" style="5" customWidth="1"/>
    <col min="25" max="25" width="37.7109375" style="6" customWidth="1"/>
    <col min="26" max="26" width="33.42578125" style="6" customWidth="1"/>
    <col min="27" max="27" width="73.5703125" style="6" customWidth="1"/>
    <col min="28" max="28" width="63.85546875" style="6" customWidth="1"/>
    <col min="29" max="29" width="9" style="6" customWidth="1"/>
    <col min="30" max="30" width="12.5703125" style="6" customWidth="1"/>
    <col min="31" max="31" width="68.42578125" style="6" customWidth="1"/>
    <col min="32" max="32" width="28.42578125" style="6" customWidth="1"/>
    <col min="33" max="33" width="24.5703125" style="6" customWidth="1"/>
    <col min="34" max="34" width="7.42578125" style="6" customWidth="1"/>
    <col min="35" max="35" width="24.28515625" style="6" customWidth="1"/>
    <col min="36" max="36" width="13.140625" style="6" customWidth="1"/>
    <col min="37" max="37" width="11.140625" style="6" customWidth="1"/>
    <col min="38" max="38" width="14.28515625" style="6" customWidth="1"/>
    <col min="39" max="39" width="8.42578125" style="6" customWidth="1"/>
    <col min="40" max="16384" width="9.140625" style="6"/>
  </cols>
  <sheetData>
    <row r="1" spans="1:40" ht="47.25">
      <c r="A1" s="4" t="s">
        <v>162</v>
      </c>
      <c r="B1" s="4"/>
    </row>
    <row r="2" spans="1:40" ht="45.75">
      <c r="A2" s="6" t="s">
        <v>164</v>
      </c>
      <c r="B2" s="245" t="s">
        <v>1071</v>
      </c>
      <c r="C2" s="5" t="s">
        <v>176</v>
      </c>
      <c r="D2" s="5" t="s">
        <v>1072</v>
      </c>
      <c r="E2" s="6" t="s">
        <v>1073</v>
      </c>
      <c r="F2" s="6" t="s">
        <v>177</v>
      </c>
      <c r="G2" s="6" t="s">
        <v>178</v>
      </c>
      <c r="H2" s="6" t="s">
        <v>179</v>
      </c>
      <c r="I2" s="6" t="s">
        <v>180</v>
      </c>
      <c r="J2" s="6" t="s">
        <v>181</v>
      </c>
      <c r="K2" s="6" t="s">
        <v>182</v>
      </c>
      <c r="L2" s="5" t="s">
        <v>1074</v>
      </c>
      <c r="M2" s="5" t="s">
        <v>184</v>
      </c>
      <c r="N2" s="5" t="s">
        <v>1075</v>
      </c>
      <c r="O2" s="6" t="s">
        <v>1076</v>
      </c>
      <c r="P2" s="6" t="s">
        <v>186</v>
      </c>
      <c r="Q2" s="6" t="s">
        <v>187</v>
      </c>
      <c r="R2" s="6" t="s">
        <v>188</v>
      </c>
      <c r="S2" s="6" t="s">
        <v>189</v>
      </c>
      <c r="T2" s="6" t="s">
        <v>190</v>
      </c>
      <c r="U2" s="5" t="s">
        <v>1077</v>
      </c>
      <c r="V2" s="5" t="s">
        <v>1078</v>
      </c>
      <c r="W2" s="6" t="s">
        <v>193</v>
      </c>
      <c r="X2" s="5" t="s">
        <v>194</v>
      </c>
      <c r="Y2" s="6" t="s">
        <v>195</v>
      </c>
      <c r="Z2" s="6" t="s">
        <v>196</v>
      </c>
      <c r="AA2" s="6" t="s">
        <v>197</v>
      </c>
      <c r="AB2" s="6" t="s">
        <v>198</v>
      </c>
      <c r="AC2" s="5" t="s">
        <v>199</v>
      </c>
      <c r="AD2" s="5" t="s">
        <v>200</v>
      </c>
      <c r="AE2" s="6" t="s">
        <v>201</v>
      </c>
      <c r="AF2" s="5" t="s">
        <v>202</v>
      </c>
      <c r="AG2" s="5" t="s">
        <v>203</v>
      </c>
      <c r="AH2" s="5" t="s">
        <v>204</v>
      </c>
      <c r="AI2" s="5" t="s">
        <v>205</v>
      </c>
      <c r="AJ2" s="5" t="s">
        <v>206</v>
      </c>
      <c r="AK2" s="5" t="s">
        <v>207</v>
      </c>
      <c r="AL2" s="5" t="s">
        <v>208</v>
      </c>
      <c r="AM2" s="5" t="s">
        <v>209</v>
      </c>
      <c r="AN2" s="6" t="s">
        <v>171</v>
      </c>
    </row>
    <row r="3" spans="1:40">
      <c r="A3" s="7" t="s">
        <v>3</v>
      </c>
      <c r="B3" s="246" t="s">
        <v>163</v>
      </c>
      <c r="C3" s="5" t="s">
        <v>212</v>
      </c>
      <c r="F3" s="6" t="s">
        <v>213</v>
      </c>
      <c r="H3" s="6" t="s">
        <v>214</v>
      </c>
      <c r="K3" s="6" t="s">
        <v>215</v>
      </c>
      <c r="N3" s="6">
        <v>1</v>
      </c>
      <c r="O3" s="6" t="s">
        <v>211</v>
      </c>
      <c r="P3" s="8">
        <v>0.54166666666666663</v>
      </c>
      <c r="S3" s="6">
        <v>1</v>
      </c>
      <c r="V3" s="6">
        <v>3</v>
      </c>
    </row>
    <row r="4" spans="1:40">
      <c r="A4" s="7" t="s">
        <v>5</v>
      </c>
      <c r="B4" s="246" t="s">
        <v>217</v>
      </c>
      <c r="C4" s="5" t="s">
        <v>218</v>
      </c>
      <c r="E4" s="6" t="s">
        <v>1079</v>
      </c>
      <c r="F4" s="6" t="s">
        <v>219</v>
      </c>
      <c r="G4" s="6" t="s">
        <v>220</v>
      </c>
      <c r="H4" s="6" t="s">
        <v>214</v>
      </c>
      <c r="I4" s="6" t="s">
        <v>221</v>
      </c>
      <c r="J4" s="6" t="s">
        <v>222</v>
      </c>
      <c r="K4" s="6" t="s">
        <v>215</v>
      </c>
      <c r="N4" s="6">
        <v>0</v>
      </c>
      <c r="S4" s="6">
        <v>1</v>
      </c>
      <c r="T4" s="6" t="s">
        <v>223</v>
      </c>
      <c r="U4" s="6" t="s">
        <v>224</v>
      </c>
      <c r="V4" s="6">
        <v>3</v>
      </c>
      <c r="W4" s="6" t="s">
        <v>225</v>
      </c>
      <c r="X4" s="5" t="s">
        <v>226</v>
      </c>
      <c r="AA4" s="6" t="s">
        <v>227</v>
      </c>
      <c r="AB4" s="6" t="s">
        <v>228</v>
      </c>
    </row>
    <row r="5" spans="1:40" s="11" customFormat="1" ht="30.75">
      <c r="A5" s="9" t="s">
        <v>4</v>
      </c>
      <c r="B5" s="247" t="s">
        <v>231</v>
      </c>
      <c r="C5" s="10" t="s">
        <v>232</v>
      </c>
      <c r="D5" s="10"/>
      <c r="F5" s="11" t="s">
        <v>219</v>
      </c>
      <c r="G5" s="11" t="s">
        <v>220</v>
      </c>
      <c r="H5" s="11" t="s">
        <v>214</v>
      </c>
      <c r="I5" s="11" t="s">
        <v>221</v>
      </c>
      <c r="J5" s="11" t="s">
        <v>233</v>
      </c>
      <c r="K5" s="11" t="s">
        <v>215</v>
      </c>
      <c r="N5" s="11">
        <v>0</v>
      </c>
      <c r="S5" s="11">
        <v>1</v>
      </c>
      <c r="T5" s="11" t="s">
        <v>223</v>
      </c>
      <c r="U5" s="11" t="s">
        <v>224</v>
      </c>
      <c r="V5" s="11">
        <v>3</v>
      </c>
      <c r="W5" s="11" t="s">
        <v>225</v>
      </c>
      <c r="X5" s="10" t="s">
        <v>234</v>
      </c>
      <c r="AA5" s="11" t="s">
        <v>227</v>
      </c>
      <c r="AB5" s="11" t="s">
        <v>228</v>
      </c>
    </row>
    <row r="6" spans="1:40" s="14" customFormat="1" ht="30.75">
      <c r="A6" s="12" t="s">
        <v>10</v>
      </c>
      <c r="B6" s="248" t="s">
        <v>237</v>
      </c>
      <c r="C6" s="13" t="s">
        <v>238</v>
      </c>
      <c r="D6" s="13"/>
      <c r="F6" s="14" t="s">
        <v>219</v>
      </c>
      <c r="G6" s="14" t="s">
        <v>239</v>
      </c>
      <c r="H6" s="14" t="s">
        <v>214</v>
      </c>
      <c r="I6" s="14" t="s">
        <v>221</v>
      </c>
      <c r="J6" s="14" t="s">
        <v>240</v>
      </c>
      <c r="K6" s="14" t="s">
        <v>215</v>
      </c>
      <c r="N6" s="14">
        <v>0</v>
      </c>
      <c r="S6" s="14">
        <v>1</v>
      </c>
      <c r="T6" s="14" t="s">
        <v>223</v>
      </c>
      <c r="U6" s="14" t="s">
        <v>224</v>
      </c>
      <c r="V6" s="14">
        <v>3</v>
      </c>
      <c r="W6" s="14" t="s">
        <v>225</v>
      </c>
      <c r="X6" s="13" t="s">
        <v>241</v>
      </c>
      <c r="AA6" s="14" t="s">
        <v>227</v>
      </c>
      <c r="AB6" s="14" t="s">
        <v>228</v>
      </c>
    </row>
    <row r="7" spans="1:40" s="14" customFormat="1" ht="30.75">
      <c r="A7" s="12" t="s">
        <v>12</v>
      </c>
      <c r="B7" s="248" t="s">
        <v>243</v>
      </c>
      <c r="C7" s="13" t="s">
        <v>244</v>
      </c>
      <c r="D7" s="13"/>
      <c r="F7" s="14" t="s">
        <v>219</v>
      </c>
      <c r="G7" s="14" t="s">
        <v>245</v>
      </c>
      <c r="H7" s="14" t="s">
        <v>214</v>
      </c>
      <c r="I7" s="14" t="s">
        <v>221</v>
      </c>
      <c r="J7" s="14" t="s">
        <v>246</v>
      </c>
      <c r="K7" s="14" t="s">
        <v>215</v>
      </c>
      <c r="N7" s="14">
        <v>0</v>
      </c>
      <c r="S7" s="14">
        <v>1</v>
      </c>
      <c r="T7" s="14" t="s">
        <v>223</v>
      </c>
      <c r="U7" s="14" t="s">
        <v>224</v>
      </c>
      <c r="V7" s="14">
        <v>3</v>
      </c>
      <c r="W7" s="14" t="s">
        <v>225</v>
      </c>
      <c r="X7" s="13" t="s">
        <v>247</v>
      </c>
      <c r="AA7" s="14" t="s">
        <v>227</v>
      </c>
      <c r="AB7" s="14" t="s">
        <v>228</v>
      </c>
    </row>
    <row r="8" spans="1:40" ht="30.75">
      <c r="A8" s="7" t="s">
        <v>6</v>
      </c>
      <c r="B8" s="246" t="s">
        <v>250</v>
      </c>
      <c r="C8" s="5" t="s">
        <v>251</v>
      </c>
      <c r="E8" s="6" t="s">
        <v>1080</v>
      </c>
      <c r="F8" s="6" t="s">
        <v>219</v>
      </c>
      <c r="G8" s="6" t="s">
        <v>220</v>
      </c>
      <c r="H8" s="6" t="s">
        <v>214</v>
      </c>
      <c r="I8" s="6" t="s">
        <v>221</v>
      </c>
      <c r="J8" s="6" t="s">
        <v>252</v>
      </c>
      <c r="K8" s="6" t="s">
        <v>215</v>
      </c>
      <c r="N8" s="6">
        <v>0</v>
      </c>
      <c r="S8" s="6">
        <v>1</v>
      </c>
      <c r="T8" s="6" t="s">
        <v>223</v>
      </c>
      <c r="U8" s="6" t="s">
        <v>224</v>
      </c>
      <c r="V8" s="6">
        <v>3</v>
      </c>
      <c r="W8" s="6" t="s">
        <v>225</v>
      </c>
      <c r="X8" s="5" t="s">
        <v>253</v>
      </c>
      <c r="AA8" s="6" t="s">
        <v>227</v>
      </c>
      <c r="AB8" s="6" t="s">
        <v>228</v>
      </c>
    </row>
    <row r="9" spans="1:40" s="14" customFormat="1">
      <c r="A9" s="12" t="s">
        <v>9</v>
      </c>
      <c r="B9" s="248" t="s">
        <v>237</v>
      </c>
      <c r="C9" s="13" t="s">
        <v>255</v>
      </c>
      <c r="D9" s="13"/>
      <c r="F9" s="14" t="s">
        <v>213</v>
      </c>
      <c r="H9" s="14" t="s">
        <v>214</v>
      </c>
      <c r="K9" s="14" t="s">
        <v>215</v>
      </c>
      <c r="N9" s="14">
        <v>1</v>
      </c>
      <c r="O9" s="14" t="s">
        <v>1081</v>
      </c>
      <c r="P9" s="15">
        <v>0.25</v>
      </c>
      <c r="S9" s="14">
        <v>1</v>
      </c>
      <c r="V9" s="14">
        <v>3</v>
      </c>
      <c r="X9" s="13"/>
    </row>
    <row r="10" spans="1:40" s="14" customFormat="1" ht="30.75">
      <c r="A10" s="12" t="s">
        <v>11</v>
      </c>
      <c r="B10" s="248" t="s">
        <v>243</v>
      </c>
      <c r="C10" s="13" t="s">
        <v>257</v>
      </c>
      <c r="D10" s="13"/>
      <c r="F10" s="14" t="s">
        <v>213</v>
      </c>
      <c r="H10" s="14" t="s">
        <v>214</v>
      </c>
      <c r="K10" s="14" t="s">
        <v>215</v>
      </c>
      <c r="N10" s="14">
        <v>1</v>
      </c>
      <c r="O10" s="14" t="s">
        <v>1081</v>
      </c>
      <c r="P10" s="15">
        <v>0.27083333333333331</v>
      </c>
      <c r="S10" s="14">
        <v>1</v>
      </c>
      <c r="V10" s="14">
        <v>3</v>
      </c>
      <c r="X10" s="13"/>
    </row>
    <row r="11" spans="1:40" s="14" customFormat="1">
      <c r="A11" s="12" t="s">
        <v>13</v>
      </c>
      <c r="B11" s="248" t="s">
        <v>163</v>
      </c>
      <c r="C11" s="13" t="s">
        <v>259</v>
      </c>
      <c r="D11" s="13"/>
      <c r="F11" s="14" t="s">
        <v>213</v>
      </c>
      <c r="H11" s="14" t="s">
        <v>214</v>
      </c>
      <c r="K11" s="14" t="s">
        <v>215</v>
      </c>
      <c r="N11" s="14">
        <v>0</v>
      </c>
      <c r="S11" s="14">
        <v>1</v>
      </c>
      <c r="V11" s="14">
        <v>3</v>
      </c>
      <c r="X11" s="13"/>
    </row>
    <row r="12" spans="1:40" ht="30.75">
      <c r="A12" s="7" t="s">
        <v>14</v>
      </c>
      <c r="B12" s="246" t="s">
        <v>261</v>
      </c>
      <c r="C12" s="5" t="s">
        <v>262</v>
      </c>
      <c r="F12" s="6" t="s">
        <v>219</v>
      </c>
      <c r="G12" s="6" t="s">
        <v>263</v>
      </c>
      <c r="H12" s="6" t="s">
        <v>214</v>
      </c>
      <c r="I12" s="6" t="s">
        <v>221</v>
      </c>
      <c r="J12" s="6" t="s">
        <v>264</v>
      </c>
      <c r="K12" s="6" t="s">
        <v>215</v>
      </c>
      <c r="N12" s="6">
        <v>0</v>
      </c>
      <c r="S12" s="6">
        <v>1</v>
      </c>
      <c r="T12" s="6" t="s">
        <v>223</v>
      </c>
      <c r="U12" s="6" t="s">
        <v>224</v>
      </c>
      <c r="V12" s="6">
        <v>3</v>
      </c>
      <c r="W12" s="6" t="s">
        <v>225</v>
      </c>
      <c r="X12" s="5" t="s">
        <v>265</v>
      </c>
      <c r="AA12" s="6" t="s">
        <v>227</v>
      </c>
      <c r="AB12" s="6" t="s">
        <v>228</v>
      </c>
    </row>
    <row r="13" spans="1:40" ht="30.75">
      <c r="A13" s="7" t="s">
        <v>15</v>
      </c>
      <c r="B13" s="246" t="s">
        <v>267</v>
      </c>
      <c r="C13" s="5" t="s">
        <v>268</v>
      </c>
      <c r="E13" s="6" t="s">
        <v>1082</v>
      </c>
      <c r="F13" s="6" t="s">
        <v>219</v>
      </c>
      <c r="G13" s="6" t="s">
        <v>263</v>
      </c>
      <c r="H13" s="6" t="s">
        <v>214</v>
      </c>
      <c r="I13" s="6" t="s">
        <v>221</v>
      </c>
      <c r="J13" s="6" t="s">
        <v>269</v>
      </c>
      <c r="K13" s="6" t="s">
        <v>215</v>
      </c>
      <c r="N13" s="6">
        <v>0</v>
      </c>
      <c r="S13" s="6">
        <v>1</v>
      </c>
      <c r="T13" s="6" t="s">
        <v>223</v>
      </c>
      <c r="U13" s="6" t="s">
        <v>224</v>
      </c>
      <c r="V13" s="6">
        <v>3</v>
      </c>
      <c r="W13" s="6" t="s">
        <v>225</v>
      </c>
      <c r="X13" s="5" t="s">
        <v>270</v>
      </c>
      <c r="AA13" s="6" t="s">
        <v>227</v>
      </c>
      <c r="AB13" s="6" t="s">
        <v>228</v>
      </c>
    </row>
    <row r="14" spans="1:40" ht="30.75">
      <c r="A14" s="7" t="s">
        <v>16</v>
      </c>
      <c r="B14" s="246" t="s">
        <v>272</v>
      </c>
      <c r="C14" s="5" t="s">
        <v>273</v>
      </c>
      <c r="E14" s="6" t="s">
        <v>1083</v>
      </c>
      <c r="F14" s="6" t="s">
        <v>219</v>
      </c>
      <c r="G14" s="6" t="s">
        <v>263</v>
      </c>
      <c r="H14" s="6" t="s">
        <v>214</v>
      </c>
      <c r="I14" s="6" t="s">
        <v>221</v>
      </c>
      <c r="J14" s="6" t="s">
        <v>274</v>
      </c>
      <c r="K14" s="6" t="s">
        <v>215</v>
      </c>
      <c r="N14" s="6">
        <v>0</v>
      </c>
      <c r="S14" s="6">
        <v>1</v>
      </c>
      <c r="T14" s="6" t="s">
        <v>223</v>
      </c>
      <c r="U14" s="6" t="s">
        <v>224</v>
      </c>
      <c r="V14" s="6">
        <v>3</v>
      </c>
      <c r="W14" s="6" t="s">
        <v>225</v>
      </c>
      <c r="X14" s="5" t="s">
        <v>275</v>
      </c>
      <c r="AA14" s="6" t="s">
        <v>227</v>
      </c>
      <c r="AB14" s="6" t="s">
        <v>228</v>
      </c>
    </row>
    <row r="15" spans="1:40" ht="30.75">
      <c r="A15" s="7" t="s">
        <v>17</v>
      </c>
      <c r="B15" s="246" t="s">
        <v>278</v>
      </c>
      <c r="C15" s="5" t="s">
        <v>279</v>
      </c>
      <c r="E15" s="6" t="s">
        <v>1084</v>
      </c>
      <c r="F15" s="6" t="s">
        <v>219</v>
      </c>
      <c r="G15" s="6" t="s">
        <v>263</v>
      </c>
      <c r="H15" s="6" t="s">
        <v>214</v>
      </c>
      <c r="I15" s="6" t="s">
        <v>221</v>
      </c>
      <c r="J15" s="6" t="s">
        <v>280</v>
      </c>
      <c r="K15" s="6" t="s">
        <v>215</v>
      </c>
      <c r="N15" s="6">
        <v>0</v>
      </c>
      <c r="S15" s="6">
        <v>1</v>
      </c>
      <c r="T15" s="6" t="s">
        <v>223</v>
      </c>
      <c r="U15" s="6" t="s">
        <v>224</v>
      </c>
      <c r="V15" s="6">
        <v>3</v>
      </c>
      <c r="W15" s="6" t="s">
        <v>225</v>
      </c>
      <c r="X15" s="5" t="s">
        <v>281</v>
      </c>
      <c r="AA15" s="6" t="s">
        <v>227</v>
      </c>
      <c r="AB15" s="6" t="s">
        <v>228</v>
      </c>
    </row>
    <row r="16" spans="1:40" ht="30.75">
      <c r="A16" s="7" t="s">
        <v>18</v>
      </c>
      <c r="B16" s="246" t="s">
        <v>1085</v>
      </c>
      <c r="C16" s="5" t="s">
        <v>285</v>
      </c>
      <c r="E16" s="6" t="s">
        <v>1086</v>
      </c>
      <c r="F16" s="6" t="s">
        <v>286</v>
      </c>
      <c r="G16" s="6" t="s">
        <v>263</v>
      </c>
      <c r="H16" s="16" t="s">
        <v>287</v>
      </c>
      <c r="I16" s="6" t="s">
        <v>288</v>
      </c>
      <c r="K16" s="6" t="s">
        <v>215</v>
      </c>
      <c r="N16" s="6">
        <v>0</v>
      </c>
      <c r="S16" s="6">
        <v>1</v>
      </c>
      <c r="U16" s="6" t="s">
        <v>224</v>
      </c>
      <c r="V16" s="6">
        <v>3</v>
      </c>
      <c r="W16" s="6" t="s">
        <v>225</v>
      </c>
      <c r="X16" s="5" t="s">
        <v>289</v>
      </c>
      <c r="AC16" s="6" t="s">
        <v>290</v>
      </c>
      <c r="AD16" s="6" t="s">
        <v>291</v>
      </c>
      <c r="AE16" s="6" t="s">
        <v>292</v>
      </c>
      <c r="AF16" s="6" t="s">
        <v>293</v>
      </c>
      <c r="AG16" s="6" t="s">
        <v>294</v>
      </c>
      <c r="AH16" s="6">
        <v>0</v>
      </c>
      <c r="AI16" s="6" t="s">
        <v>214</v>
      </c>
      <c r="AJ16" s="6" t="s">
        <v>295</v>
      </c>
    </row>
    <row r="17" spans="1:36" ht="30.75">
      <c r="A17" s="7" t="s">
        <v>19</v>
      </c>
      <c r="B17" s="246" t="s">
        <v>1085</v>
      </c>
      <c r="C17" s="5" t="s">
        <v>298</v>
      </c>
      <c r="E17" s="6" t="s">
        <v>1087</v>
      </c>
      <c r="F17" s="6" t="s">
        <v>286</v>
      </c>
      <c r="G17" s="6" t="s">
        <v>263</v>
      </c>
      <c r="H17" s="16" t="s">
        <v>287</v>
      </c>
      <c r="I17" s="6" t="s">
        <v>288</v>
      </c>
      <c r="K17" s="6" t="s">
        <v>215</v>
      </c>
      <c r="N17" s="6">
        <v>0</v>
      </c>
      <c r="S17" s="6">
        <v>1</v>
      </c>
      <c r="U17" s="6" t="s">
        <v>224</v>
      </c>
      <c r="V17" s="6">
        <v>3</v>
      </c>
      <c r="W17" s="6" t="s">
        <v>225</v>
      </c>
      <c r="X17" s="5" t="s">
        <v>299</v>
      </c>
      <c r="AC17" s="6" t="s">
        <v>290</v>
      </c>
      <c r="AD17" s="6" t="s">
        <v>291</v>
      </c>
      <c r="AE17" s="6" t="s">
        <v>300</v>
      </c>
      <c r="AF17" s="6" t="s">
        <v>301</v>
      </c>
      <c r="AG17" s="6" t="s">
        <v>294</v>
      </c>
      <c r="AH17" s="6">
        <v>0</v>
      </c>
      <c r="AI17" s="6" t="s">
        <v>214</v>
      </c>
      <c r="AJ17" s="6" t="s">
        <v>295</v>
      </c>
    </row>
    <row r="18" spans="1:36" ht="30.75">
      <c r="A18" s="7" t="s">
        <v>20</v>
      </c>
      <c r="B18" s="246" t="s">
        <v>1085</v>
      </c>
      <c r="C18" s="5" t="s">
        <v>303</v>
      </c>
      <c r="E18" s="6" t="s">
        <v>1088</v>
      </c>
      <c r="F18" s="6" t="s">
        <v>286</v>
      </c>
      <c r="G18" s="6" t="s">
        <v>263</v>
      </c>
      <c r="H18" s="16" t="s">
        <v>287</v>
      </c>
      <c r="I18" s="6" t="s">
        <v>288</v>
      </c>
      <c r="J18" s="16"/>
      <c r="K18" s="6" t="s">
        <v>215</v>
      </c>
      <c r="N18" s="6">
        <v>0</v>
      </c>
      <c r="S18" s="6">
        <v>1</v>
      </c>
      <c r="U18" s="6" t="s">
        <v>224</v>
      </c>
      <c r="V18" s="6">
        <v>3</v>
      </c>
      <c r="W18" s="6" t="s">
        <v>225</v>
      </c>
      <c r="X18" s="5" t="s">
        <v>304</v>
      </c>
      <c r="AC18" s="6" t="s">
        <v>290</v>
      </c>
      <c r="AD18" s="6" t="s">
        <v>291</v>
      </c>
      <c r="AE18" s="6" t="s">
        <v>305</v>
      </c>
      <c r="AF18" s="6" t="s">
        <v>306</v>
      </c>
      <c r="AG18" s="6" t="s">
        <v>294</v>
      </c>
      <c r="AH18" s="6">
        <v>0</v>
      </c>
      <c r="AI18" s="6" t="s">
        <v>214</v>
      </c>
      <c r="AJ18" s="6" t="s">
        <v>295</v>
      </c>
    </row>
    <row r="19" spans="1:36" ht="30.75">
      <c r="A19" s="7" t="s">
        <v>21</v>
      </c>
      <c r="B19" s="246" t="s">
        <v>1085</v>
      </c>
      <c r="C19" s="5" t="s">
        <v>308</v>
      </c>
      <c r="E19" s="6" t="s">
        <v>1089</v>
      </c>
      <c r="F19" s="6" t="s">
        <v>286</v>
      </c>
      <c r="G19" s="6" t="s">
        <v>263</v>
      </c>
      <c r="H19" s="16" t="s">
        <v>287</v>
      </c>
      <c r="I19" s="6" t="s">
        <v>288</v>
      </c>
      <c r="J19" s="16"/>
      <c r="K19" s="6" t="s">
        <v>215</v>
      </c>
      <c r="N19" s="6">
        <v>0</v>
      </c>
      <c r="S19" s="6">
        <v>1</v>
      </c>
      <c r="U19" s="6" t="s">
        <v>224</v>
      </c>
      <c r="V19" s="6">
        <v>3</v>
      </c>
      <c r="W19" s="6" t="s">
        <v>225</v>
      </c>
      <c r="X19" s="5" t="s">
        <v>309</v>
      </c>
      <c r="AC19" s="6" t="s">
        <v>290</v>
      </c>
      <c r="AD19" s="6" t="s">
        <v>291</v>
      </c>
      <c r="AE19" s="6" t="s">
        <v>310</v>
      </c>
      <c r="AF19" s="6" t="s">
        <v>311</v>
      </c>
      <c r="AG19" s="6" t="s">
        <v>294</v>
      </c>
      <c r="AH19" s="6">
        <v>0</v>
      </c>
      <c r="AI19" s="6" t="s">
        <v>214</v>
      </c>
      <c r="AJ19" s="6" t="s">
        <v>295</v>
      </c>
    </row>
    <row r="20" spans="1:36" ht="30.75">
      <c r="A20" s="7" t="s">
        <v>22</v>
      </c>
      <c r="B20" s="246" t="s">
        <v>1090</v>
      </c>
      <c r="C20" s="5" t="s">
        <v>314</v>
      </c>
      <c r="D20" s="5" t="s">
        <v>1091</v>
      </c>
      <c r="E20" s="6" t="s">
        <v>1092</v>
      </c>
      <c r="F20" s="6" t="s">
        <v>315</v>
      </c>
      <c r="G20" s="6" t="s">
        <v>263</v>
      </c>
      <c r="H20" s="6" t="s">
        <v>316</v>
      </c>
      <c r="I20" s="6" t="s">
        <v>317</v>
      </c>
      <c r="L20" s="6" t="s">
        <v>318</v>
      </c>
      <c r="M20" s="14" t="s">
        <v>319</v>
      </c>
      <c r="N20" s="6">
        <v>0</v>
      </c>
      <c r="S20" s="6">
        <v>1</v>
      </c>
      <c r="U20" s="6" t="s">
        <v>224</v>
      </c>
      <c r="W20" s="6" t="s">
        <v>320</v>
      </c>
      <c r="X20" s="5" t="s">
        <v>321</v>
      </c>
      <c r="Y20" s="6" t="s">
        <v>322</v>
      </c>
    </row>
    <row r="21" spans="1:36" ht="45.75">
      <c r="A21" s="7" t="s">
        <v>23</v>
      </c>
      <c r="B21" s="246" t="s">
        <v>163</v>
      </c>
      <c r="C21" s="5" t="s">
        <v>323</v>
      </c>
      <c r="E21" s="6" t="s">
        <v>1093</v>
      </c>
      <c r="F21" s="6" t="s">
        <v>219</v>
      </c>
      <c r="G21" s="6" t="s">
        <v>263</v>
      </c>
      <c r="H21" s="6" t="s">
        <v>214</v>
      </c>
      <c r="I21" s="6" t="s">
        <v>221</v>
      </c>
      <c r="J21" s="6" t="s">
        <v>324</v>
      </c>
      <c r="K21" s="6" t="s">
        <v>215</v>
      </c>
      <c r="N21" s="6">
        <v>0</v>
      </c>
      <c r="S21" s="6">
        <v>1</v>
      </c>
      <c r="T21" s="6" t="s">
        <v>223</v>
      </c>
      <c r="U21" s="6" t="s">
        <v>224</v>
      </c>
      <c r="V21" s="6">
        <v>3</v>
      </c>
      <c r="W21" s="6" t="s">
        <v>225</v>
      </c>
      <c r="X21" s="5" t="s">
        <v>325</v>
      </c>
      <c r="AA21" s="6" t="s">
        <v>227</v>
      </c>
      <c r="AB21" s="6" t="s">
        <v>228</v>
      </c>
    </row>
    <row r="22" spans="1:36" s="18" customFormat="1" ht="45.75">
      <c r="A22" s="7" t="s">
        <v>24</v>
      </c>
      <c r="B22" s="246" t="s">
        <v>1094</v>
      </c>
      <c r="C22" s="17" t="s">
        <v>328</v>
      </c>
      <c r="D22" s="17" t="s">
        <v>1091</v>
      </c>
      <c r="E22" s="18" t="s">
        <v>1095</v>
      </c>
      <c r="F22" s="18" t="s">
        <v>315</v>
      </c>
      <c r="G22" s="18" t="s">
        <v>263</v>
      </c>
      <c r="H22" s="18" t="s">
        <v>316</v>
      </c>
      <c r="I22" s="18" t="s">
        <v>317</v>
      </c>
      <c r="L22" s="18" t="s">
        <v>329</v>
      </c>
      <c r="M22" s="19" t="s">
        <v>330</v>
      </c>
      <c r="N22" s="18">
        <v>0</v>
      </c>
      <c r="S22" s="18">
        <v>1</v>
      </c>
      <c r="U22" s="18" t="s">
        <v>224</v>
      </c>
      <c r="W22" s="18" t="s">
        <v>320</v>
      </c>
      <c r="X22" s="17" t="s">
        <v>331</v>
      </c>
      <c r="Y22" s="18" t="s">
        <v>332</v>
      </c>
    </row>
    <row r="23" spans="1:36" ht="45.75">
      <c r="A23" s="7" t="s">
        <v>25</v>
      </c>
      <c r="B23" s="246" t="s">
        <v>1090</v>
      </c>
      <c r="C23" s="5" t="s">
        <v>335</v>
      </c>
      <c r="D23" s="5" t="s">
        <v>1091</v>
      </c>
      <c r="E23" s="6" t="s">
        <v>1096</v>
      </c>
      <c r="F23" s="6" t="s">
        <v>315</v>
      </c>
      <c r="G23" s="6" t="s">
        <v>263</v>
      </c>
      <c r="H23" s="6" t="s">
        <v>316</v>
      </c>
      <c r="I23" s="6" t="s">
        <v>317</v>
      </c>
      <c r="L23" s="6" t="s">
        <v>318</v>
      </c>
      <c r="M23" s="14" t="s">
        <v>336</v>
      </c>
      <c r="N23" s="6">
        <v>0</v>
      </c>
      <c r="S23" s="6">
        <v>1</v>
      </c>
      <c r="U23" s="6" t="s">
        <v>224</v>
      </c>
      <c r="W23" s="6" t="s">
        <v>320</v>
      </c>
      <c r="X23" s="5" t="s">
        <v>337</v>
      </c>
      <c r="Y23" s="6" t="s">
        <v>332</v>
      </c>
    </row>
    <row r="24" spans="1:36" ht="30.75">
      <c r="A24" s="7" t="s">
        <v>26</v>
      </c>
      <c r="B24" s="246" t="s">
        <v>1090</v>
      </c>
      <c r="C24" s="5" t="s">
        <v>342</v>
      </c>
      <c r="F24" s="6" t="s">
        <v>219</v>
      </c>
      <c r="G24" s="6" t="s">
        <v>263</v>
      </c>
      <c r="H24" s="6" t="s">
        <v>214</v>
      </c>
      <c r="I24" s="6" t="s">
        <v>343</v>
      </c>
      <c r="J24" s="6" t="s">
        <v>344</v>
      </c>
      <c r="K24" s="6" t="s">
        <v>215</v>
      </c>
      <c r="N24" s="6">
        <v>0</v>
      </c>
      <c r="S24" s="6">
        <v>1</v>
      </c>
      <c r="T24" s="6" t="s">
        <v>223</v>
      </c>
      <c r="U24" s="6" t="s">
        <v>224</v>
      </c>
      <c r="V24" s="6">
        <v>3</v>
      </c>
      <c r="W24" s="6" t="s">
        <v>225</v>
      </c>
      <c r="X24" s="5" t="s">
        <v>345</v>
      </c>
      <c r="AA24" s="6" t="s">
        <v>346</v>
      </c>
      <c r="AB24" s="6" t="s">
        <v>347</v>
      </c>
    </row>
    <row r="25" spans="1:36" ht="45.75">
      <c r="A25" s="7" t="s">
        <v>27</v>
      </c>
      <c r="B25" s="246" t="s">
        <v>1090</v>
      </c>
      <c r="C25" s="5" t="s">
        <v>351</v>
      </c>
      <c r="E25" s="6" t="s">
        <v>1097</v>
      </c>
      <c r="F25" s="6" t="s">
        <v>219</v>
      </c>
      <c r="G25" s="6" t="s">
        <v>263</v>
      </c>
      <c r="H25" s="6" t="s">
        <v>214</v>
      </c>
      <c r="I25" s="6" t="s">
        <v>221</v>
      </c>
      <c r="J25" s="6" t="s">
        <v>352</v>
      </c>
      <c r="K25" s="6" t="s">
        <v>215</v>
      </c>
      <c r="N25" s="6">
        <v>0</v>
      </c>
      <c r="S25" s="6">
        <v>1</v>
      </c>
      <c r="T25" s="6" t="s">
        <v>223</v>
      </c>
      <c r="U25" s="6" t="s">
        <v>224</v>
      </c>
      <c r="V25" s="6">
        <v>3</v>
      </c>
      <c r="W25" s="6" t="s">
        <v>225</v>
      </c>
      <c r="X25" s="5" t="s">
        <v>353</v>
      </c>
      <c r="AA25" s="6" t="s">
        <v>227</v>
      </c>
      <c r="AB25" s="6" t="s">
        <v>228</v>
      </c>
    </row>
    <row r="26" spans="1:36" s="14" customFormat="1">
      <c r="A26" s="12" t="s">
        <v>28</v>
      </c>
      <c r="B26" s="248" t="s">
        <v>357</v>
      </c>
      <c r="C26" s="13" t="s">
        <v>358</v>
      </c>
      <c r="D26" s="13" t="s">
        <v>1098</v>
      </c>
      <c r="E26" s="14" t="s">
        <v>1099</v>
      </c>
      <c r="F26" s="14" t="s">
        <v>219</v>
      </c>
      <c r="G26" s="14" t="s">
        <v>263</v>
      </c>
      <c r="H26" s="14" t="s">
        <v>214</v>
      </c>
      <c r="I26" s="14" t="s">
        <v>221</v>
      </c>
      <c r="J26" s="14" t="s">
        <v>359</v>
      </c>
      <c r="K26" s="14" t="s">
        <v>215</v>
      </c>
      <c r="N26" s="14">
        <v>0</v>
      </c>
      <c r="S26" s="14">
        <v>1</v>
      </c>
      <c r="T26" s="14" t="s">
        <v>223</v>
      </c>
      <c r="U26" s="14" t="s">
        <v>224</v>
      </c>
      <c r="V26" s="14">
        <v>3</v>
      </c>
      <c r="W26" s="14" t="s">
        <v>225</v>
      </c>
      <c r="X26" s="13" t="s">
        <v>360</v>
      </c>
      <c r="AA26" s="14" t="s">
        <v>227</v>
      </c>
      <c r="AB26" s="14" t="s">
        <v>228</v>
      </c>
    </row>
    <row r="27" spans="1:36" ht="45.75">
      <c r="A27" s="7" t="s">
        <v>29</v>
      </c>
      <c r="B27" s="246" t="s">
        <v>1100</v>
      </c>
      <c r="C27" s="5" t="s">
        <v>364</v>
      </c>
      <c r="D27" s="5" t="s">
        <v>1091</v>
      </c>
      <c r="E27" s="6" t="s">
        <v>1096</v>
      </c>
      <c r="F27" s="6" t="s">
        <v>315</v>
      </c>
      <c r="G27" s="6" t="s">
        <v>263</v>
      </c>
      <c r="H27" s="6" t="s">
        <v>316</v>
      </c>
      <c r="I27" s="6" t="s">
        <v>317</v>
      </c>
      <c r="L27" s="6" t="s">
        <v>329</v>
      </c>
      <c r="M27" s="14" t="s">
        <v>365</v>
      </c>
      <c r="N27" s="6">
        <v>0</v>
      </c>
      <c r="S27" s="6">
        <v>1</v>
      </c>
      <c r="U27" s="6" t="s">
        <v>224</v>
      </c>
      <c r="W27" s="6" t="s">
        <v>320</v>
      </c>
      <c r="X27" s="5" t="s">
        <v>366</v>
      </c>
      <c r="Y27" s="6" t="s">
        <v>332</v>
      </c>
    </row>
    <row r="28" spans="1:36" ht="30.75">
      <c r="A28" s="7" t="s">
        <v>30</v>
      </c>
      <c r="B28" s="246" t="s">
        <v>1101</v>
      </c>
      <c r="C28" s="5" t="s">
        <v>370</v>
      </c>
      <c r="F28" s="6" t="s">
        <v>315</v>
      </c>
      <c r="H28" s="6" t="s">
        <v>316</v>
      </c>
      <c r="I28" s="6" t="s">
        <v>371</v>
      </c>
      <c r="L28" s="6" t="s">
        <v>329</v>
      </c>
      <c r="M28" s="14" t="s">
        <v>372</v>
      </c>
      <c r="N28" s="6">
        <v>0</v>
      </c>
      <c r="S28" s="6">
        <v>1</v>
      </c>
      <c r="U28" s="6" t="s">
        <v>224</v>
      </c>
      <c r="W28" s="6" t="s">
        <v>320</v>
      </c>
      <c r="X28" s="5" t="s">
        <v>373</v>
      </c>
      <c r="Y28" s="6" t="s">
        <v>332</v>
      </c>
    </row>
    <row r="29" spans="1:36" ht="30.75">
      <c r="A29" s="7" t="s">
        <v>32</v>
      </c>
      <c r="B29" s="246" t="s">
        <v>378</v>
      </c>
      <c r="C29" s="5" t="s">
        <v>379</v>
      </c>
      <c r="F29" s="6" t="s">
        <v>219</v>
      </c>
      <c r="G29" s="6" t="s">
        <v>380</v>
      </c>
      <c r="H29" s="6" t="s">
        <v>214</v>
      </c>
      <c r="I29" s="6" t="s">
        <v>221</v>
      </c>
      <c r="J29" s="6" t="s">
        <v>381</v>
      </c>
      <c r="K29" s="6" t="s">
        <v>215</v>
      </c>
      <c r="N29" s="6">
        <v>0</v>
      </c>
      <c r="S29" s="6">
        <v>1</v>
      </c>
      <c r="T29" s="6" t="s">
        <v>223</v>
      </c>
      <c r="U29" s="6" t="s">
        <v>224</v>
      </c>
      <c r="V29" s="6">
        <v>3</v>
      </c>
      <c r="W29" s="6" t="s">
        <v>225</v>
      </c>
      <c r="X29" s="5" t="s">
        <v>382</v>
      </c>
      <c r="AA29" s="6" t="s">
        <v>227</v>
      </c>
      <c r="AB29" s="6" t="s">
        <v>228</v>
      </c>
    </row>
    <row r="30" spans="1:36" ht="30.75">
      <c r="A30" s="7" t="s">
        <v>33</v>
      </c>
      <c r="B30" s="246" t="s">
        <v>387</v>
      </c>
      <c r="C30" s="5" t="s">
        <v>388</v>
      </c>
      <c r="E30" s="6" t="s">
        <v>1102</v>
      </c>
      <c r="F30" s="6" t="s">
        <v>219</v>
      </c>
      <c r="G30" s="6" t="s">
        <v>380</v>
      </c>
      <c r="H30" s="6" t="s">
        <v>214</v>
      </c>
      <c r="I30" s="6" t="s">
        <v>221</v>
      </c>
      <c r="J30" s="6" t="s">
        <v>389</v>
      </c>
      <c r="K30" s="6" t="s">
        <v>215</v>
      </c>
      <c r="N30" s="6">
        <v>0</v>
      </c>
      <c r="S30" s="6">
        <v>1</v>
      </c>
      <c r="T30" s="6" t="s">
        <v>223</v>
      </c>
      <c r="U30" s="6" t="s">
        <v>224</v>
      </c>
      <c r="V30" s="6">
        <v>3</v>
      </c>
      <c r="W30" s="6" t="s">
        <v>225</v>
      </c>
      <c r="X30" s="5" t="s">
        <v>390</v>
      </c>
      <c r="AA30" s="6" t="s">
        <v>227</v>
      </c>
      <c r="AB30" s="6" t="s">
        <v>228</v>
      </c>
    </row>
    <row r="31" spans="1:36" ht="30.75">
      <c r="A31" s="7" t="s">
        <v>34</v>
      </c>
      <c r="B31" s="246" t="s">
        <v>1085</v>
      </c>
      <c r="C31" s="5" t="s">
        <v>391</v>
      </c>
      <c r="E31" s="6" t="s">
        <v>1103</v>
      </c>
      <c r="F31" s="6" t="s">
        <v>286</v>
      </c>
      <c r="G31" s="6" t="s">
        <v>380</v>
      </c>
      <c r="H31" s="16" t="s">
        <v>287</v>
      </c>
      <c r="I31" s="6" t="s">
        <v>288</v>
      </c>
      <c r="K31" s="6" t="s">
        <v>215</v>
      </c>
      <c r="N31" s="6">
        <v>0</v>
      </c>
      <c r="S31" s="6">
        <v>1</v>
      </c>
      <c r="U31" s="6" t="s">
        <v>224</v>
      </c>
      <c r="V31" s="6">
        <v>3</v>
      </c>
      <c r="W31" s="6" t="s">
        <v>225</v>
      </c>
      <c r="X31" s="5" t="s">
        <v>392</v>
      </c>
      <c r="AC31" s="6" t="s">
        <v>290</v>
      </c>
      <c r="AD31" s="6" t="s">
        <v>291</v>
      </c>
      <c r="AE31" s="6" t="s">
        <v>393</v>
      </c>
      <c r="AF31" s="6" t="s">
        <v>394</v>
      </c>
      <c r="AG31" s="6" t="s">
        <v>294</v>
      </c>
      <c r="AH31" s="6">
        <v>0</v>
      </c>
      <c r="AI31" s="6" t="s">
        <v>214</v>
      </c>
      <c r="AJ31" s="6" t="s">
        <v>295</v>
      </c>
    </row>
    <row r="32" spans="1:36" ht="30.75">
      <c r="A32" s="7" t="s">
        <v>35</v>
      </c>
      <c r="B32" s="246" t="s">
        <v>1085</v>
      </c>
      <c r="C32" s="5" t="s">
        <v>397</v>
      </c>
      <c r="E32" s="6" t="s">
        <v>1104</v>
      </c>
      <c r="F32" s="6" t="s">
        <v>286</v>
      </c>
      <c r="G32" s="6" t="s">
        <v>380</v>
      </c>
      <c r="H32" s="16" t="s">
        <v>287</v>
      </c>
      <c r="I32" s="6" t="s">
        <v>288</v>
      </c>
      <c r="K32" s="6" t="s">
        <v>215</v>
      </c>
      <c r="N32" s="6">
        <v>0</v>
      </c>
      <c r="S32" s="6">
        <v>1</v>
      </c>
      <c r="U32" s="6" t="s">
        <v>224</v>
      </c>
      <c r="V32" s="6">
        <v>3</v>
      </c>
      <c r="W32" s="6" t="s">
        <v>225</v>
      </c>
      <c r="X32" s="5" t="s">
        <v>398</v>
      </c>
      <c r="AC32" s="6" t="s">
        <v>290</v>
      </c>
      <c r="AD32" s="6" t="s">
        <v>291</v>
      </c>
      <c r="AE32" s="6" t="s">
        <v>399</v>
      </c>
      <c r="AF32" s="6" t="s">
        <v>400</v>
      </c>
      <c r="AG32" s="6" t="s">
        <v>294</v>
      </c>
      <c r="AH32" s="6">
        <v>0</v>
      </c>
      <c r="AI32" s="6" t="s">
        <v>214</v>
      </c>
      <c r="AJ32" s="6" t="s">
        <v>295</v>
      </c>
    </row>
    <row r="33" spans="1:36" ht="30.75">
      <c r="A33" s="7" t="s">
        <v>36</v>
      </c>
      <c r="B33" s="246" t="s">
        <v>1085</v>
      </c>
      <c r="C33" s="5" t="s">
        <v>403</v>
      </c>
      <c r="E33" s="6" t="s">
        <v>1105</v>
      </c>
      <c r="F33" s="6" t="s">
        <v>286</v>
      </c>
      <c r="G33" s="6" t="s">
        <v>380</v>
      </c>
      <c r="H33" s="16" t="s">
        <v>287</v>
      </c>
      <c r="I33" s="6" t="s">
        <v>288</v>
      </c>
      <c r="K33" s="6" t="s">
        <v>215</v>
      </c>
      <c r="N33" s="6">
        <v>0</v>
      </c>
      <c r="S33" s="6">
        <v>1</v>
      </c>
      <c r="U33" s="6" t="s">
        <v>224</v>
      </c>
      <c r="V33" s="6">
        <v>3</v>
      </c>
      <c r="W33" s="6" t="s">
        <v>225</v>
      </c>
      <c r="X33" s="5" t="s">
        <v>404</v>
      </c>
      <c r="AC33" s="6" t="s">
        <v>290</v>
      </c>
      <c r="AD33" s="6" t="s">
        <v>291</v>
      </c>
      <c r="AE33" s="6" t="s">
        <v>405</v>
      </c>
      <c r="AF33" s="6" t="s">
        <v>406</v>
      </c>
      <c r="AG33" s="6" t="s">
        <v>294</v>
      </c>
      <c r="AH33" s="6">
        <v>0</v>
      </c>
      <c r="AI33" s="6" t="s">
        <v>214</v>
      </c>
      <c r="AJ33" s="6" t="s">
        <v>295</v>
      </c>
    </row>
    <row r="34" spans="1:36" ht="30.75">
      <c r="A34" s="7" t="s">
        <v>37</v>
      </c>
      <c r="B34" s="246" t="s">
        <v>408</v>
      </c>
      <c r="C34" s="5" t="s">
        <v>409</v>
      </c>
      <c r="E34" s="6" t="s">
        <v>1106</v>
      </c>
      <c r="F34" s="6" t="s">
        <v>219</v>
      </c>
      <c r="G34" s="6" t="s">
        <v>380</v>
      </c>
      <c r="H34" s="6" t="s">
        <v>214</v>
      </c>
      <c r="I34" s="6" t="s">
        <v>221</v>
      </c>
      <c r="J34" s="6" t="s">
        <v>410</v>
      </c>
      <c r="K34" s="6" t="s">
        <v>215</v>
      </c>
      <c r="N34" s="6">
        <v>0</v>
      </c>
      <c r="S34" s="6">
        <v>1</v>
      </c>
      <c r="T34" s="6" t="s">
        <v>223</v>
      </c>
      <c r="U34" s="6" t="s">
        <v>224</v>
      </c>
      <c r="V34" s="6">
        <v>3</v>
      </c>
      <c r="W34" s="6" t="s">
        <v>225</v>
      </c>
      <c r="X34" s="5" t="s">
        <v>411</v>
      </c>
      <c r="AA34" s="6" t="s">
        <v>227</v>
      </c>
      <c r="AB34" s="6" t="s">
        <v>228</v>
      </c>
    </row>
    <row r="35" spans="1:36" ht="30.75">
      <c r="A35" s="7" t="s">
        <v>38</v>
      </c>
      <c r="B35" s="246" t="s">
        <v>1085</v>
      </c>
      <c r="C35" s="5" t="s">
        <v>413</v>
      </c>
      <c r="E35" s="6" t="s">
        <v>1107</v>
      </c>
      <c r="F35" s="6" t="s">
        <v>286</v>
      </c>
      <c r="G35" s="6" t="s">
        <v>380</v>
      </c>
      <c r="H35" s="16" t="s">
        <v>287</v>
      </c>
      <c r="I35" s="6" t="s">
        <v>288</v>
      </c>
      <c r="K35" s="6" t="s">
        <v>215</v>
      </c>
      <c r="N35" s="6">
        <v>0</v>
      </c>
      <c r="S35" s="6">
        <v>1</v>
      </c>
      <c r="U35" s="6" t="s">
        <v>224</v>
      </c>
      <c r="V35" s="6">
        <v>3</v>
      </c>
      <c r="W35" s="6" t="s">
        <v>225</v>
      </c>
      <c r="X35" s="5" t="s">
        <v>414</v>
      </c>
      <c r="AC35" s="6" t="s">
        <v>290</v>
      </c>
      <c r="AD35" s="6" t="s">
        <v>291</v>
      </c>
      <c r="AE35" s="6" t="s">
        <v>415</v>
      </c>
      <c r="AF35" s="6" t="s">
        <v>416</v>
      </c>
      <c r="AG35" s="6" t="s">
        <v>294</v>
      </c>
      <c r="AH35" s="6">
        <v>0</v>
      </c>
      <c r="AI35" s="6" t="s">
        <v>214</v>
      </c>
      <c r="AJ35" s="6" t="s">
        <v>295</v>
      </c>
    </row>
    <row r="36" spans="1:36" ht="30.75">
      <c r="A36" s="7" t="s">
        <v>39</v>
      </c>
      <c r="B36" s="246" t="s">
        <v>261</v>
      </c>
      <c r="C36" s="5" t="s">
        <v>262</v>
      </c>
      <c r="E36" s="6" t="s">
        <v>1108</v>
      </c>
      <c r="F36" s="6" t="s">
        <v>219</v>
      </c>
      <c r="G36" s="6" t="s">
        <v>380</v>
      </c>
      <c r="H36" s="6" t="s">
        <v>214</v>
      </c>
      <c r="I36" s="6" t="s">
        <v>221</v>
      </c>
      <c r="J36" s="6" t="s">
        <v>264</v>
      </c>
      <c r="K36" s="6" t="s">
        <v>215</v>
      </c>
      <c r="N36" s="6">
        <v>0</v>
      </c>
      <c r="S36" s="6">
        <v>1</v>
      </c>
      <c r="T36" s="6" t="s">
        <v>223</v>
      </c>
      <c r="U36" s="6" t="s">
        <v>224</v>
      </c>
      <c r="V36" s="6">
        <v>3</v>
      </c>
      <c r="W36" s="6" t="s">
        <v>225</v>
      </c>
      <c r="X36" s="5" t="s">
        <v>418</v>
      </c>
      <c r="AA36" s="6" t="s">
        <v>227</v>
      </c>
      <c r="AB36" s="6" t="s">
        <v>228</v>
      </c>
    </row>
    <row r="37" spans="1:36" ht="30.75">
      <c r="A37" s="7" t="s">
        <v>40</v>
      </c>
      <c r="B37" s="246" t="s">
        <v>267</v>
      </c>
      <c r="C37" s="5" t="s">
        <v>421</v>
      </c>
      <c r="E37" s="6" t="s">
        <v>1109</v>
      </c>
      <c r="F37" s="6" t="s">
        <v>219</v>
      </c>
      <c r="G37" s="6" t="s">
        <v>380</v>
      </c>
      <c r="H37" s="6" t="s">
        <v>214</v>
      </c>
      <c r="I37" s="6" t="s">
        <v>221</v>
      </c>
      <c r="J37" s="6" t="s">
        <v>269</v>
      </c>
      <c r="K37" s="6" t="s">
        <v>215</v>
      </c>
      <c r="N37" s="6">
        <v>0</v>
      </c>
      <c r="S37" s="6">
        <v>1</v>
      </c>
      <c r="T37" s="6" t="s">
        <v>223</v>
      </c>
      <c r="U37" s="6" t="s">
        <v>224</v>
      </c>
      <c r="V37" s="6">
        <v>3</v>
      </c>
      <c r="W37" s="6" t="s">
        <v>225</v>
      </c>
      <c r="X37" s="5" t="s">
        <v>422</v>
      </c>
      <c r="AA37" s="6" t="s">
        <v>227</v>
      </c>
      <c r="AB37" s="6" t="s">
        <v>228</v>
      </c>
    </row>
    <row r="38" spans="1:36" ht="30.75">
      <c r="A38" s="7" t="s">
        <v>41</v>
      </c>
      <c r="B38" s="246" t="s">
        <v>272</v>
      </c>
      <c r="C38" s="5" t="s">
        <v>424</v>
      </c>
      <c r="E38" s="6" t="s">
        <v>1110</v>
      </c>
      <c r="F38" s="6" t="s">
        <v>219</v>
      </c>
      <c r="G38" s="6" t="s">
        <v>380</v>
      </c>
      <c r="H38" s="6" t="s">
        <v>214</v>
      </c>
      <c r="I38" s="6" t="s">
        <v>221</v>
      </c>
      <c r="J38" s="6" t="s">
        <v>274</v>
      </c>
      <c r="K38" s="6" t="s">
        <v>215</v>
      </c>
      <c r="N38" s="6">
        <v>0</v>
      </c>
      <c r="S38" s="6">
        <v>1</v>
      </c>
      <c r="T38" s="6" t="s">
        <v>223</v>
      </c>
      <c r="U38" s="6" t="s">
        <v>224</v>
      </c>
      <c r="V38" s="6">
        <v>3</v>
      </c>
      <c r="W38" s="6" t="s">
        <v>225</v>
      </c>
      <c r="X38" s="5" t="s">
        <v>425</v>
      </c>
      <c r="AA38" s="6" t="s">
        <v>227</v>
      </c>
      <c r="AB38" s="6" t="s">
        <v>228</v>
      </c>
    </row>
    <row r="39" spans="1:36" ht="30.75">
      <c r="A39" s="7" t="s">
        <v>42</v>
      </c>
      <c r="B39" s="246" t="s">
        <v>278</v>
      </c>
      <c r="C39" s="5" t="s">
        <v>427</v>
      </c>
      <c r="E39" s="6" t="s">
        <v>1111</v>
      </c>
      <c r="F39" s="6" t="s">
        <v>219</v>
      </c>
      <c r="G39" s="6" t="s">
        <v>380</v>
      </c>
      <c r="H39" s="6" t="s">
        <v>214</v>
      </c>
      <c r="I39" s="6" t="s">
        <v>221</v>
      </c>
      <c r="J39" s="6" t="s">
        <v>280</v>
      </c>
      <c r="K39" s="6" t="s">
        <v>215</v>
      </c>
      <c r="N39" s="6">
        <v>0</v>
      </c>
      <c r="S39" s="6">
        <v>1</v>
      </c>
      <c r="T39" s="6" t="s">
        <v>223</v>
      </c>
      <c r="U39" s="6" t="s">
        <v>224</v>
      </c>
      <c r="V39" s="6">
        <v>3</v>
      </c>
      <c r="W39" s="6" t="s">
        <v>225</v>
      </c>
      <c r="X39" s="5" t="s">
        <v>428</v>
      </c>
      <c r="AA39" s="6" t="s">
        <v>227</v>
      </c>
      <c r="AB39" s="6" t="s">
        <v>228</v>
      </c>
    </row>
    <row r="40" spans="1:36" ht="30.75">
      <c r="A40" s="7" t="s">
        <v>43</v>
      </c>
      <c r="B40" s="246" t="s">
        <v>1085</v>
      </c>
      <c r="C40" s="5" t="s">
        <v>431</v>
      </c>
      <c r="E40" s="6" t="s">
        <v>1112</v>
      </c>
      <c r="F40" s="6" t="s">
        <v>286</v>
      </c>
      <c r="G40" s="6" t="s">
        <v>380</v>
      </c>
      <c r="H40" s="16" t="s">
        <v>287</v>
      </c>
      <c r="I40" s="6" t="s">
        <v>288</v>
      </c>
      <c r="K40" s="6" t="s">
        <v>215</v>
      </c>
      <c r="N40" s="6">
        <v>0</v>
      </c>
      <c r="S40" s="6">
        <v>1</v>
      </c>
      <c r="U40" s="6" t="s">
        <v>224</v>
      </c>
      <c r="V40" s="6">
        <v>3</v>
      </c>
      <c r="W40" s="6" t="s">
        <v>225</v>
      </c>
      <c r="X40" s="5" t="s">
        <v>432</v>
      </c>
      <c r="AC40" s="6" t="s">
        <v>290</v>
      </c>
      <c r="AD40" s="6" t="s">
        <v>291</v>
      </c>
      <c r="AE40" s="6" t="s">
        <v>292</v>
      </c>
      <c r="AF40" s="6" t="s">
        <v>293</v>
      </c>
      <c r="AG40" s="6" t="s">
        <v>294</v>
      </c>
      <c r="AH40" s="6">
        <v>0</v>
      </c>
      <c r="AI40" s="6" t="s">
        <v>214</v>
      </c>
      <c r="AJ40" s="6" t="s">
        <v>295</v>
      </c>
    </row>
    <row r="41" spans="1:36" ht="30.75">
      <c r="A41" s="7" t="s">
        <v>44</v>
      </c>
      <c r="B41" s="246" t="s">
        <v>1085</v>
      </c>
      <c r="C41" s="5" t="s">
        <v>435</v>
      </c>
      <c r="E41" s="6" t="s">
        <v>1113</v>
      </c>
      <c r="F41" s="6" t="s">
        <v>286</v>
      </c>
      <c r="G41" s="6" t="s">
        <v>380</v>
      </c>
      <c r="H41" s="16" t="s">
        <v>287</v>
      </c>
      <c r="I41" s="6" t="s">
        <v>288</v>
      </c>
      <c r="K41" s="6" t="s">
        <v>215</v>
      </c>
      <c r="N41" s="6">
        <v>0</v>
      </c>
      <c r="S41" s="6">
        <v>1</v>
      </c>
      <c r="U41" s="6" t="s">
        <v>224</v>
      </c>
      <c r="V41" s="6">
        <v>3</v>
      </c>
      <c r="W41" s="6" t="s">
        <v>225</v>
      </c>
      <c r="X41" s="5" t="s">
        <v>436</v>
      </c>
      <c r="AC41" s="6" t="s">
        <v>290</v>
      </c>
      <c r="AD41" s="6" t="s">
        <v>291</v>
      </c>
      <c r="AE41" s="6" t="s">
        <v>300</v>
      </c>
      <c r="AF41" s="6" t="s">
        <v>301</v>
      </c>
      <c r="AG41" s="6" t="s">
        <v>294</v>
      </c>
      <c r="AH41" s="6">
        <v>0</v>
      </c>
      <c r="AI41" s="6" t="s">
        <v>214</v>
      </c>
      <c r="AJ41" s="6" t="s">
        <v>295</v>
      </c>
    </row>
    <row r="42" spans="1:36" ht="30.75">
      <c r="A42" s="7" t="s">
        <v>45</v>
      </c>
      <c r="B42" s="246" t="s">
        <v>1085</v>
      </c>
      <c r="C42" s="5" t="s">
        <v>439</v>
      </c>
      <c r="E42" s="6" t="s">
        <v>1114</v>
      </c>
      <c r="F42" s="6" t="s">
        <v>286</v>
      </c>
      <c r="G42" s="6" t="s">
        <v>380</v>
      </c>
      <c r="H42" s="16" t="s">
        <v>287</v>
      </c>
      <c r="I42" s="6" t="s">
        <v>288</v>
      </c>
      <c r="K42" s="6" t="s">
        <v>215</v>
      </c>
      <c r="N42" s="6">
        <v>0</v>
      </c>
      <c r="S42" s="6">
        <v>1</v>
      </c>
      <c r="U42" s="6" t="s">
        <v>224</v>
      </c>
      <c r="V42" s="6">
        <v>3</v>
      </c>
      <c r="W42" s="6" t="s">
        <v>225</v>
      </c>
      <c r="X42" s="5" t="s">
        <v>440</v>
      </c>
      <c r="AC42" s="6" t="s">
        <v>290</v>
      </c>
      <c r="AD42" s="6" t="s">
        <v>291</v>
      </c>
      <c r="AE42" s="6" t="s">
        <v>305</v>
      </c>
      <c r="AF42" s="6" t="s">
        <v>306</v>
      </c>
      <c r="AG42" s="6" t="s">
        <v>294</v>
      </c>
      <c r="AH42" s="6">
        <v>0</v>
      </c>
      <c r="AI42" s="6" t="s">
        <v>214</v>
      </c>
      <c r="AJ42" s="6" t="s">
        <v>295</v>
      </c>
    </row>
    <row r="43" spans="1:36" ht="30.75">
      <c r="A43" s="7" t="s">
        <v>46</v>
      </c>
      <c r="B43" s="246" t="s">
        <v>1085</v>
      </c>
      <c r="C43" s="5" t="s">
        <v>442</v>
      </c>
      <c r="E43" s="6" t="s">
        <v>1115</v>
      </c>
      <c r="F43" s="6" t="s">
        <v>286</v>
      </c>
      <c r="G43" s="6" t="s">
        <v>380</v>
      </c>
      <c r="H43" s="16" t="s">
        <v>287</v>
      </c>
      <c r="I43" s="6" t="s">
        <v>288</v>
      </c>
      <c r="K43" s="6" t="s">
        <v>215</v>
      </c>
      <c r="N43" s="6">
        <v>0</v>
      </c>
      <c r="S43" s="6">
        <v>1</v>
      </c>
      <c r="U43" s="6" t="s">
        <v>224</v>
      </c>
      <c r="V43" s="6">
        <v>3</v>
      </c>
      <c r="W43" s="6" t="s">
        <v>225</v>
      </c>
      <c r="X43" s="5" t="s">
        <v>443</v>
      </c>
      <c r="AC43" s="6" t="s">
        <v>290</v>
      </c>
      <c r="AD43" s="6" t="s">
        <v>291</v>
      </c>
      <c r="AE43" s="6" t="s">
        <v>310</v>
      </c>
      <c r="AF43" s="6" t="s">
        <v>311</v>
      </c>
      <c r="AG43" s="6" t="s">
        <v>294</v>
      </c>
      <c r="AH43" s="6">
        <v>0</v>
      </c>
      <c r="AI43" s="6" t="s">
        <v>214</v>
      </c>
      <c r="AJ43" s="6" t="s">
        <v>295</v>
      </c>
    </row>
    <row r="44" spans="1:36" s="20" customFormat="1" ht="60.75">
      <c r="A44" s="7" t="s">
        <v>47</v>
      </c>
      <c r="B44" s="246" t="s">
        <v>1090</v>
      </c>
      <c r="C44" s="2" t="s">
        <v>445</v>
      </c>
      <c r="D44" s="2" t="s">
        <v>1091</v>
      </c>
      <c r="E44" s="20" t="s">
        <v>1116</v>
      </c>
      <c r="F44" s="20" t="s">
        <v>315</v>
      </c>
      <c r="G44" s="20" t="s">
        <v>380</v>
      </c>
      <c r="H44" s="20" t="s">
        <v>316</v>
      </c>
      <c r="I44" s="20" t="s">
        <v>317</v>
      </c>
      <c r="L44" s="20" t="s">
        <v>318</v>
      </c>
      <c r="M44" s="21" t="s">
        <v>446</v>
      </c>
      <c r="N44" s="20">
        <v>0</v>
      </c>
      <c r="S44" s="20">
        <v>1</v>
      </c>
      <c r="U44" s="20" t="s">
        <v>224</v>
      </c>
      <c r="W44" s="20" t="s">
        <v>320</v>
      </c>
      <c r="X44" s="2" t="s">
        <v>447</v>
      </c>
      <c r="Y44" s="20" t="s">
        <v>332</v>
      </c>
    </row>
    <row r="45" spans="1:36" s="20" customFormat="1" ht="45.75">
      <c r="A45" s="7" t="s">
        <v>48</v>
      </c>
      <c r="B45" s="246" t="s">
        <v>1090</v>
      </c>
      <c r="C45" s="2" t="s">
        <v>449</v>
      </c>
      <c r="D45" s="2" t="s">
        <v>1091</v>
      </c>
      <c r="E45" s="20" t="s">
        <v>1117</v>
      </c>
      <c r="F45" s="20" t="s">
        <v>315</v>
      </c>
      <c r="G45" s="20" t="s">
        <v>380</v>
      </c>
      <c r="H45" s="20" t="s">
        <v>316</v>
      </c>
      <c r="I45" s="20" t="s">
        <v>317</v>
      </c>
      <c r="L45" s="20" t="s">
        <v>318</v>
      </c>
      <c r="M45" s="21" t="s">
        <v>450</v>
      </c>
      <c r="N45" s="20">
        <v>0</v>
      </c>
      <c r="S45" s="20">
        <v>1</v>
      </c>
      <c r="U45" s="20" t="s">
        <v>224</v>
      </c>
      <c r="W45" s="20" t="s">
        <v>320</v>
      </c>
      <c r="X45" s="2" t="s">
        <v>451</v>
      </c>
      <c r="Y45" s="20" t="s">
        <v>332</v>
      </c>
    </row>
    <row r="46" spans="1:36" s="20" customFormat="1" ht="60.75">
      <c r="A46" s="7" t="s">
        <v>49</v>
      </c>
      <c r="B46" s="246" t="s">
        <v>1090</v>
      </c>
      <c r="C46" s="2" t="s">
        <v>453</v>
      </c>
      <c r="D46" s="2" t="s">
        <v>1091</v>
      </c>
      <c r="E46" s="20" t="s">
        <v>1118</v>
      </c>
      <c r="F46" s="20" t="s">
        <v>315</v>
      </c>
      <c r="G46" s="20" t="s">
        <v>380</v>
      </c>
      <c r="H46" s="20" t="s">
        <v>316</v>
      </c>
      <c r="I46" s="20" t="s">
        <v>317</v>
      </c>
      <c r="L46" s="20" t="s">
        <v>318</v>
      </c>
      <c r="M46" s="20" t="s">
        <v>319</v>
      </c>
      <c r="N46" s="20">
        <v>0</v>
      </c>
      <c r="S46" s="20">
        <v>1</v>
      </c>
      <c r="U46" s="20" t="s">
        <v>224</v>
      </c>
      <c r="W46" s="20" t="s">
        <v>320</v>
      </c>
      <c r="X46" s="2" t="s">
        <v>454</v>
      </c>
      <c r="Y46" s="20" t="s">
        <v>455</v>
      </c>
    </row>
    <row r="47" spans="1:36" s="20" customFormat="1" ht="60.75">
      <c r="A47" s="7" t="s">
        <v>50</v>
      </c>
      <c r="B47" s="246" t="s">
        <v>1090</v>
      </c>
      <c r="C47" s="2" t="s">
        <v>458</v>
      </c>
      <c r="D47" s="2" t="s">
        <v>1091</v>
      </c>
      <c r="E47" s="20" t="s">
        <v>1119</v>
      </c>
      <c r="F47" s="20" t="s">
        <v>315</v>
      </c>
      <c r="G47" s="20" t="s">
        <v>380</v>
      </c>
      <c r="H47" s="20" t="s">
        <v>316</v>
      </c>
      <c r="I47" s="20" t="s">
        <v>317</v>
      </c>
      <c r="L47" s="20" t="s">
        <v>329</v>
      </c>
      <c r="M47" s="21" t="s">
        <v>459</v>
      </c>
      <c r="N47" s="20">
        <v>0</v>
      </c>
      <c r="S47" s="20">
        <v>1</v>
      </c>
      <c r="U47" s="20" t="s">
        <v>224</v>
      </c>
      <c r="W47" s="20" t="s">
        <v>320</v>
      </c>
      <c r="X47" s="2" t="s">
        <v>460</v>
      </c>
      <c r="Y47" s="20" t="s">
        <v>332</v>
      </c>
    </row>
    <row r="48" spans="1:36" s="20" customFormat="1" ht="45.75">
      <c r="A48" s="7" t="s">
        <v>51</v>
      </c>
      <c r="B48" s="246" t="s">
        <v>1090</v>
      </c>
      <c r="C48" s="2" t="s">
        <v>463</v>
      </c>
      <c r="D48" s="2" t="s">
        <v>1091</v>
      </c>
      <c r="E48" s="20" t="s">
        <v>1120</v>
      </c>
      <c r="F48" s="20" t="s">
        <v>315</v>
      </c>
      <c r="G48" s="20" t="s">
        <v>380</v>
      </c>
      <c r="H48" s="20" t="s">
        <v>316</v>
      </c>
      <c r="I48" s="20" t="s">
        <v>317</v>
      </c>
      <c r="L48" s="20" t="s">
        <v>329</v>
      </c>
      <c r="M48" s="21" t="s">
        <v>464</v>
      </c>
      <c r="N48" s="20">
        <v>0</v>
      </c>
      <c r="S48" s="20">
        <v>1</v>
      </c>
      <c r="U48" s="20" t="s">
        <v>224</v>
      </c>
      <c r="W48" s="20" t="s">
        <v>320</v>
      </c>
      <c r="X48" s="2" t="s">
        <v>465</v>
      </c>
      <c r="Y48" s="20" t="s">
        <v>332</v>
      </c>
    </row>
    <row r="49" spans="1:28" ht="45.75">
      <c r="A49" s="7" t="s">
        <v>52</v>
      </c>
      <c r="B49" s="246" t="s">
        <v>163</v>
      </c>
      <c r="C49" s="5" t="s">
        <v>468</v>
      </c>
      <c r="E49" s="6" t="s">
        <v>1121</v>
      </c>
      <c r="F49" s="6" t="s">
        <v>219</v>
      </c>
      <c r="G49" s="6" t="s">
        <v>380</v>
      </c>
      <c r="H49" s="6" t="s">
        <v>214</v>
      </c>
      <c r="I49" s="6" t="s">
        <v>221</v>
      </c>
      <c r="J49" s="6" t="s">
        <v>324</v>
      </c>
      <c r="K49" s="6" t="s">
        <v>215</v>
      </c>
      <c r="N49" s="6">
        <v>0</v>
      </c>
      <c r="S49" s="6">
        <v>1</v>
      </c>
      <c r="T49" s="6" t="s">
        <v>223</v>
      </c>
      <c r="U49" s="6" t="s">
        <v>224</v>
      </c>
      <c r="V49" s="6">
        <v>3</v>
      </c>
      <c r="W49" s="6" t="s">
        <v>225</v>
      </c>
      <c r="X49" s="5" t="s">
        <v>469</v>
      </c>
      <c r="AA49" s="6" t="s">
        <v>227</v>
      </c>
      <c r="AB49" s="6" t="s">
        <v>228</v>
      </c>
    </row>
    <row r="50" spans="1:28" s="20" customFormat="1" ht="30.75">
      <c r="A50" s="7" t="s">
        <v>53</v>
      </c>
      <c r="B50" s="246" t="s">
        <v>1122</v>
      </c>
      <c r="C50" s="2" t="s">
        <v>472</v>
      </c>
      <c r="D50" s="2"/>
      <c r="E50" s="20" t="s">
        <v>1123</v>
      </c>
      <c r="F50" s="20" t="s">
        <v>315</v>
      </c>
      <c r="G50" s="20" t="s">
        <v>380</v>
      </c>
      <c r="H50" s="20" t="s">
        <v>316</v>
      </c>
      <c r="I50" s="20" t="s">
        <v>317</v>
      </c>
      <c r="L50" s="20" t="s">
        <v>329</v>
      </c>
      <c r="M50" s="21" t="s">
        <v>473</v>
      </c>
      <c r="N50" s="20">
        <v>0</v>
      </c>
      <c r="S50" s="20">
        <v>1</v>
      </c>
      <c r="U50" s="20" t="s">
        <v>224</v>
      </c>
      <c r="W50" s="20" t="s">
        <v>320</v>
      </c>
      <c r="X50" s="2" t="s">
        <v>474</v>
      </c>
      <c r="Y50" s="20" t="s">
        <v>332</v>
      </c>
    </row>
    <row r="51" spans="1:28" s="20" customFormat="1" ht="30.75">
      <c r="A51" s="7" t="s">
        <v>54</v>
      </c>
      <c r="B51" s="246" t="s">
        <v>1124</v>
      </c>
      <c r="C51" s="2" t="s">
        <v>477</v>
      </c>
      <c r="D51" s="2"/>
      <c r="E51" s="20" t="s">
        <v>1125</v>
      </c>
      <c r="F51" s="20" t="s">
        <v>315</v>
      </c>
      <c r="G51" s="20" t="s">
        <v>380</v>
      </c>
      <c r="H51" s="20" t="s">
        <v>316</v>
      </c>
      <c r="I51" s="20" t="s">
        <v>317</v>
      </c>
      <c r="L51" s="20" t="s">
        <v>329</v>
      </c>
      <c r="M51" s="21" t="s">
        <v>478</v>
      </c>
      <c r="N51" s="20">
        <v>0</v>
      </c>
      <c r="S51" s="20">
        <v>1</v>
      </c>
      <c r="U51" s="20" t="s">
        <v>224</v>
      </c>
      <c r="W51" s="20" t="s">
        <v>320</v>
      </c>
      <c r="X51" s="2" t="s">
        <v>479</v>
      </c>
      <c r="Y51" s="20" t="s">
        <v>332</v>
      </c>
    </row>
    <row r="52" spans="1:28" s="20" customFormat="1" ht="30.75">
      <c r="A52" s="7" t="s">
        <v>55</v>
      </c>
      <c r="B52" s="246" t="s">
        <v>1126</v>
      </c>
      <c r="C52" s="2" t="s">
        <v>481</v>
      </c>
      <c r="D52" s="2"/>
      <c r="E52" s="20" t="s">
        <v>1127</v>
      </c>
      <c r="F52" s="20" t="s">
        <v>315</v>
      </c>
      <c r="G52" s="20" t="s">
        <v>380</v>
      </c>
      <c r="H52" s="20" t="s">
        <v>316</v>
      </c>
      <c r="I52" s="20" t="s">
        <v>317</v>
      </c>
      <c r="L52" s="20" t="s">
        <v>329</v>
      </c>
      <c r="M52" s="21" t="s">
        <v>482</v>
      </c>
      <c r="N52" s="20">
        <v>0</v>
      </c>
      <c r="S52" s="20">
        <v>1</v>
      </c>
      <c r="U52" s="20" t="s">
        <v>224</v>
      </c>
      <c r="W52" s="20" t="s">
        <v>320</v>
      </c>
      <c r="X52" s="2" t="s">
        <v>483</v>
      </c>
      <c r="Y52" s="20" t="s">
        <v>332</v>
      </c>
    </row>
    <row r="53" spans="1:28">
      <c r="A53" s="7" t="s">
        <v>56</v>
      </c>
      <c r="B53" s="246" t="s">
        <v>489</v>
      </c>
      <c r="C53" s="22" t="s">
        <v>490</v>
      </c>
      <c r="E53" s="6" t="s">
        <v>1128</v>
      </c>
      <c r="F53" s="6" t="s">
        <v>219</v>
      </c>
      <c r="G53" s="6" t="s">
        <v>380</v>
      </c>
      <c r="H53" s="6" t="s">
        <v>214</v>
      </c>
      <c r="I53" s="6" t="s">
        <v>221</v>
      </c>
      <c r="J53" s="6" t="s">
        <v>491</v>
      </c>
      <c r="K53" s="6" t="s">
        <v>492</v>
      </c>
      <c r="N53" s="6">
        <v>0</v>
      </c>
      <c r="S53" s="6">
        <v>1</v>
      </c>
      <c r="U53" s="6" t="s">
        <v>224</v>
      </c>
      <c r="W53" s="6" t="s">
        <v>320</v>
      </c>
      <c r="X53" s="5" t="s">
        <v>493</v>
      </c>
      <c r="AA53" s="6" t="s">
        <v>227</v>
      </c>
      <c r="AB53" s="6" t="s">
        <v>228</v>
      </c>
    </row>
    <row r="54" spans="1:28" ht="30.75">
      <c r="A54" s="7" t="s">
        <v>57</v>
      </c>
      <c r="B54" s="246" t="s">
        <v>500</v>
      </c>
      <c r="C54" s="5" t="s">
        <v>501</v>
      </c>
      <c r="E54" s="6" t="s">
        <v>517</v>
      </c>
      <c r="F54" s="6" t="s">
        <v>219</v>
      </c>
      <c r="G54" s="6" t="s">
        <v>380</v>
      </c>
      <c r="H54" s="6" t="s">
        <v>214</v>
      </c>
      <c r="I54" s="6" t="s">
        <v>221</v>
      </c>
      <c r="J54" s="6" t="s">
        <v>502</v>
      </c>
      <c r="K54" s="6" t="s">
        <v>215</v>
      </c>
      <c r="N54" s="6">
        <v>0</v>
      </c>
      <c r="S54" s="6">
        <v>1</v>
      </c>
      <c r="U54" s="6" t="s">
        <v>224</v>
      </c>
      <c r="W54" s="6" t="s">
        <v>320</v>
      </c>
      <c r="X54" s="5" t="s">
        <v>503</v>
      </c>
      <c r="AA54" s="6" t="s">
        <v>227</v>
      </c>
      <c r="AB54" s="6" t="s">
        <v>228</v>
      </c>
    </row>
    <row r="55" spans="1:28" s="24" customFormat="1" ht="30.75">
      <c r="A55" s="9" t="s">
        <v>58</v>
      </c>
      <c r="B55" s="247" t="s">
        <v>1090</v>
      </c>
      <c r="C55" s="23" t="s">
        <v>508</v>
      </c>
      <c r="D55" s="23"/>
      <c r="E55" s="24" t="s">
        <v>521</v>
      </c>
      <c r="F55" s="24" t="s">
        <v>315</v>
      </c>
      <c r="G55" s="24" t="s">
        <v>380</v>
      </c>
      <c r="H55" s="24" t="s">
        <v>316</v>
      </c>
      <c r="I55" s="24" t="s">
        <v>317</v>
      </c>
      <c r="L55" s="24" t="s">
        <v>329</v>
      </c>
      <c r="M55" s="21" t="s">
        <v>509</v>
      </c>
      <c r="N55" s="24">
        <v>0</v>
      </c>
      <c r="S55" s="24">
        <v>1</v>
      </c>
      <c r="U55" s="24" t="s">
        <v>224</v>
      </c>
      <c r="W55" s="24" t="s">
        <v>320</v>
      </c>
      <c r="X55" s="23" t="s">
        <v>510</v>
      </c>
      <c r="Y55" s="24" t="s">
        <v>332</v>
      </c>
    </row>
    <row r="56" spans="1:28" ht="30.75" customHeight="1">
      <c r="A56" s="7" t="s">
        <v>59</v>
      </c>
      <c r="B56" s="246" t="s">
        <v>513</v>
      </c>
      <c r="C56" s="5" t="s">
        <v>514</v>
      </c>
      <c r="D56" s="5" t="s">
        <v>1129</v>
      </c>
      <c r="E56" s="6" t="s">
        <v>1130</v>
      </c>
      <c r="F56" s="6" t="s">
        <v>219</v>
      </c>
      <c r="G56" s="6" t="s">
        <v>380</v>
      </c>
      <c r="H56" s="6" t="s">
        <v>214</v>
      </c>
      <c r="I56" s="6" t="s">
        <v>221</v>
      </c>
      <c r="J56" s="6" t="s">
        <v>515</v>
      </c>
      <c r="K56" s="6" t="s">
        <v>215</v>
      </c>
      <c r="N56" s="6">
        <v>0</v>
      </c>
      <c r="O56" s="6" t="s">
        <v>1131</v>
      </c>
      <c r="S56" s="6">
        <v>1</v>
      </c>
      <c r="T56" s="6" t="s">
        <v>223</v>
      </c>
      <c r="U56" s="6" t="s">
        <v>224</v>
      </c>
      <c r="V56" s="6">
        <v>3</v>
      </c>
      <c r="W56" s="6" t="s">
        <v>225</v>
      </c>
      <c r="X56" s="5" t="s">
        <v>516</v>
      </c>
      <c r="AA56" s="6" t="s">
        <v>227</v>
      </c>
      <c r="AB56" s="6" t="s">
        <v>228</v>
      </c>
    </row>
    <row r="57" spans="1:28" s="27" customFormat="1" ht="60.75">
      <c r="A57" s="25" t="s">
        <v>60</v>
      </c>
      <c r="B57" s="246" t="s">
        <v>1090</v>
      </c>
      <c r="C57" s="26" t="s">
        <v>518</v>
      </c>
      <c r="D57" s="26"/>
      <c r="E57" s="27" t="s">
        <v>1130</v>
      </c>
      <c r="F57" s="27" t="s">
        <v>315</v>
      </c>
      <c r="G57" s="27" t="s">
        <v>380</v>
      </c>
      <c r="H57" s="27" t="s">
        <v>316</v>
      </c>
      <c r="I57" s="27" t="s">
        <v>317</v>
      </c>
      <c r="L57" s="27" t="s">
        <v>329</v>
      </c>
      <c r="M57" s="21" t="s">
        <v>519</v>
      </c>
      <c r="N57" s="27">
        <v>0</v>
      </c>
      <c r="S57" s="27">
        <v>1</v>
      </c>
      <c r="U57" s="27" t="s">
        <v>224</v>
      </c>
      <c r="W57" s="27" t="s">
        <v>320</v>
      </c>
      <c r="X57" s="26" t="s">
        <v>520</v>
      </c>
      <c r="Y57" s="27" t="s">
        <v>332</v>
      </c>
    </row>
    <row r="58" spans="1:28" s="20" customFormat="1">
      <c r="A58" s="7" t="s">
        <v>62</v>
      </c>
      <c r="B58" s="246" t="s">
        <v>1101</v>
      </c>
      <c r="C58" s="2" t="s">
        <v>524</v>
      </c>
      <c r="D58" s="2"/>
      <c r="E58" s="20" t="s">
        <v>1132</v>
      </c>
      <c r="F58" s="20" t="s">
        <v>315</v>
      </c>
      <c r="G58" s="20" t="s">
        <v>380</v>
      </c>
      <c r="H58" s="20" t="s">
        <v>316</v>
      </c>
      <c r="I58" s="20" t="s">
        <v>317</v>
      </c>
      <c r="L58" s="20" t="s">
        <v>329</v>
      </c>
      <c r="M58" s="21" t="s">
        <v>372</v>
      </c>
      <c r="N58" s="20">
        <v>0</v>
      </c>
      <c r="O58" s="20" t="s">
        <v>1133</v>
      </c>
      <c r="P58" s="20" t="s">
        <v>525</v>
      </c>
      <c r="R58" s="20" t="s">
        <v>526</v>
      </c>
      <c r="S58" s="20">
        <v>1</v>
      </c>
      <c r="U58" s="20" t="s">
        <v>224</v>
      </c>
      <c r="W58" s="20" t="s">
        <v>320</v>
      </c>
      <c r="X58" s="2" t="s">
        <v>527</v>
      </c>
      <c r="Y58" s="20" t="s">
        <v>332</v>
      </c>
    </row>
    <row r="59" spans="1:28" s="20" customFormat="1">
      <c r="A59" s="7" t="s">
        <v>61</v>
      </c>
      <c r="B59" s="246" t="s">
        <v>1134</v>
      </c>
      <c r="C59" s="2" t="s">
        <v>530</v>
      </c>
      <c r="D59" s="2"/>
      <c r="E59" s="20" t="s">
        <v>1135</v>
      </c>
      <c r="F59" s="20" t="s">
        <v>315</v>
      </c>
      <c r="G59" s="20" t="s">
        <v>380</v>
      </c>
      <c r="H59" s="20" t="s">
        <v>316</v>
      </c>
      <c r="I59" s="20" t="s">
        <v>317</v>
      </c>
      <c r="L59" s="20" t="s">
        <v>329</v>
      </c>
      <c r="M59" s="21" t="s">
        <v>531</v>
      </c>
      <c r="N59" s="20">
        <v>0</v>
      </c>
      <c r="S59" s="20">
        <v>1</v>
      </c>
      <c r="U59" s="20" t="s">
        <v>224</v>
      </c>
      <c r="W59" s="20" t="s">
        <v>320</v>
      </c>
      <c r="X59" s="2" t="s">
        <v>532</v>
      </c>
      <c r="Y59" s="20" t="s">
        <v>332</v>
      </c>
    </row>
    <row r="60" spans="1:28">
      <c r="A60" s="7" t="s">
        <v>63</v>
      </c>
      <c r="B60" s="246" t="s">
        <v>1090</v>
      </c>
      <c r="C60" s="5" t="s">
        <v>536</v>
      </c>
      <c r="E60" s="6" t="s">
        <v>1136</v>
      </c>
      <c r="F60" s="6" t="s">
        <v>219</v>
      </c>
      <c r="G60" s="6" t="s">
        <v>380</v>
      </c>
      <c r="H60" s="6" t="s">
        <v>214</v>
      </c>
      <c r="I60" s="6" t="s">
        <v>221</v>
      </c>
      <c r="J60" s="6" t="s">
        <v>537</v>
      </c>
      <c r="K60" s="6" t="s">
        <v>215</v>
      </c>
      <c r="N60" s="6">
        <v>1</v>
      </c>
      <c r="O60" s="6" t="s">
        <v>1137</v>
      </c>
      <c r="P60" s="6" t="s">
        <v>538</v>
      </c>
      <c r="S60" s="6">
        <v>1</v>
      </c>
      <c r="T60" s="6" t="s">
        <v>223</v>
      </c>
      <c r="U60" s="6" t="s">
        <v>224</v>
      </c>
      <c r="V60" s="6">
        <v>3</v>
      </c>
      <c r="W60" s="6" t="s">
        <v>225</v>
      </c>
      <c r="X60" s="5" t="s">
        <v>539</v>
      </c>
      <c r="AA60" s="6" t="s">
        <v>227</v>
      </c>
      <c r="AB60" s="6" t="s">
        <v>228</v>
      </c>
    </row>
    <row r="61" spans="1:28">
      <c r="A61" s="7" t="s">
        <v>64</v>
      </c>
      <c r="B61" s="246" t="s">
        <v>543</v>
      </c>
      <c r="C61" s="5" t="s">
        <v>544</v>
      </c>
      <c r="E61" s="6" t="s">
        <v>1138</v>
      </c>
      <c r="F61" s="6" t="s">
        <v>219</v>
      </c>
      <c r="G61" s="6" t="s">
        <v>380</v>
      </c>
      <c r="H61" s="6" t="s">
        <v>214</v>
      </c>
      <c r="I61" s="6" t="s">
        <v>221</v>
      </c>
      <c r="J61" s="6" t="s">
        <v>545</v>
      </c>
      <c r="K61" s="6" t="s">
        <v>215</v>
      </c>
      <c r="N61" s="6">
        <v>1</v>
      </c>
      <c r="O61" s="6" t="s">
        <v>1137</v>
      </c>
      <c r="P61" s="6" t="s">
        <v>538</v>
      </c>
      <c r="S61" s="6">
        <v>1</v>
      </c>
      <c r="T61" s="6" t="s">
        <v>223</v>
      </c>
      <c r="U61" s="6" t="s">
        <v>224</v>
      </c>
      <c r="V61" s="6">
        <v>3</v>
      </c>
      <c r="W61" s="6" t="s">
        <v>225</v>
      </c>
      <c r="X61" s="5" t="s">
        <v>546</v>
      </c>
      <c r="AA61" s="6" t="s">
        <v>227</v>
      </c>
      <c r="AB61" s="6" t="s">
        <v>228</v>
      </c>
    </row>
    <row r="62" spans="1:28" s="24" customFormat="1" ht="30.75">
      <c r="A62" s="9" t="s">
        <v>65</v>
      </c>
      <c r="B62" s="247" t="s">
        <v>1090</v>
      </c>
      <c r="C62" s="23" t="s">
        <v>549</v>
      </c>
      <c r="D62" s="23"/>
      <c r="F62" s="24" t="s">
        <v>315</v>
      </c>
      <c r="H62" s="24" t="s">
        <v>316</v>
      </c>
      <c r="I62" s="24" t="s">
        <v>371</v>
      </c>
      <c r="L62" s="24" t="s">
        <v>550</v>
      </c>
      <c r="M62" s="21" t="s">
        <v>551</v>
      </c>
      <c r="N62" s="24">
        <v>1</v>
      </c>
      <c r="O62" s="24" t="s">
        <v>1139</v>
      </c>
      <c r="P62" s="28">
        <v>3.472222222222222E-3</v>
      </c>
      <c r="S62" s="24">
        <v>1</v>
      </c>
      <c r="U62" s="24" t="s">
        <v>224</v>
      </c>
      <c r="W62" s="24" t="s">
        <v>320</v>
      </c>
      <c r="X62" s="23" t="s">
        <v>552</v>
      </c>
      <c r="Y62" s="24" t="s">
        <v>332</v>
      </c>
    </row>
    <row r="63" spans="1:28" s="20" customFormat="1" ht="60.75">
      <c r="A63" s="20" t="s">
        <v>66</v>
      </c>
      <c r="B63" s="249" t="s">
        <v>500</v>
      </c>
      <c r="C63" s="2" t="s">
        <v>556</v>
      </c>
      <c r="D63" s="2"/>
      <c r="E63" s="20" t="s">
        <v>1140</v>
      </c>
      <c r="F63" s="20" t="s">
        <v>315</v>
      </c>
      <c r="H63" s="20" t="s">
        <v>316</v>
      </c>
      <c r="I63" s="20" t="s">
        <v>371</v>
      </c>
      <c r="L63" s="20" t="s">
        <v>557</v>
      </c>
      <c r="M63" s="2" t="s">
        <v>558</v>
      </c>
      <c r="N63" s="20">
        <v>0</v>
      </c>
      <c r="S63" s="20">
        <v>1</v>
      </c>
      <c r="U63" s="20" t="s">
        <v>224</v>
      </c>
      <c r="W63" s="20" t="s">
        <v>320</v>
      </c>
      <c r="X63" s="2" t="s">
        <v>559</v>
      </c>
      <c r="Y63" s="20" t="s">
        <v>332</v>
      </c>
    </row>
    <row r="64" spans="1:28" s="11" customFormat="1" ht="45.75">
      <c r="A64" s="11" t="s">
        <v>67</v>
      </c>
      <c r="B64" s="250" t="s">
        <v>562</v>
      </c>
      <c r="C64" s="10" t="s">
        <v>563</v>
      </c>
      <c r="D64" s="10"/>
      <c r="F64" s="11" t="s">
        <v>219</v>
      </c>
      <c r="H64" s="11" t="s">
        <v>214</v>
      </c>
      <c r="I64" s="11" t="s">
        <v>221</v>
      </c>
      <c r="J64" s="11" t="s">
        <v>564</v>
      </c>
      <c r="K64" s="11" t="s">
        <v>565</v>
      </c>
      <c r="N64" s="11">
        <v>1</v>
      </c>
      <c r="O64" s="11" t="s">
        <v>1139</v>
      </c>
      <c r="P64" s="29">
        <v>0.79166666666666663</v>
      </c>
      <c r="S64" s="11">
        <v>1</v>
      </c>
      <c r="T64" s="11" t="s">
        <v>223</v>
      </c>
      <c r="U64" s="11" t="s">
        <v>224</v>
      </c>
      <c r="V64" s="11">
        <v>3</v>
      </c>
      <c r="W64" s="11" t="s">
        <v>320</v>
      </c>
      <c r="X64" s="10" t="s">
        <v>566</v>
      </c>
      <c r="AA64" s="11" t="s">
        <v>227</v>
      </c>
      <c r="AB64" s="11" t="s">
        <v>228</v>
      </c>
    </row>
    <row r="65" spans="1:36">
      <c r="A65" s="6" t="s">
        <v>31</v>
      </c>
      <c r="B65" s="251" t="s">
        <v>163</v>
      </c>
      <c r="C65" s="5" t="s">
        <v>568</v>
      </c>
      <c r="F65" s="6" t="s">
        <v>213</v>
      </c>
      <c r="H65" s="6" t="s">
        <v>569</v>
      </c>
      <c r="K65" s="6" t="s">
        <v>215</v>
      </c>
      <c r="N65" s="6">
        <v>1</v>
      </c>
      <c r="O65" s="6" t="s">
        <v>1141</v>
      </c>
      <c r="P65" s="8">
        <v>4.1666666666666664E-2</v>
      </c>
      <c r="S65" s="6">
        <v>1</v>
      </c>
      <c r="V65" s="6">
        <v>3</v>
      </c>
    </row>
    <row r="66" spans="1:36" s="11" customFormat="1">
      <c r="A66" s="11" t="s">
        <v>69</v>
      </c>
      <c r="B66" s="250" t="s">
        <v>357</v>
      </c>
      <c r="C66" s="10" t="s">
        <v>571</v>
      </c>
      <c r="D66" s="10"/>
      <c r="F66" s="11" t="s">
        <v>213</v>
      </c>
      <c r="H66" s="11" t="s">
        <v>214</v>
      </c>
      <c r="K66" s="11" t="s">
        <v>215</v>
      </c>
      <c r="N66" s="11">
        <v>0</v>
      </c>
      <c r="S66" s="11">
        <v>1</v>
      </c>
      <c r="V66" s="11">
        <v>3</v>
      </c>
      <c r="X66" s="10"/>
    </row>
    <row r="67" spans="1:36">
      <c r="A67" s="6" t="s">
        <v>70</v>
      </c>
      <c r="B67" s="251" t="s">
        <v>261</v>
      </c>
      <c r="C67" s="5" t="s">
        <v>573</v>
      </c>
      <c r="F67" s="6" t="s">
        <v>219</v>
      </c>
      <c r="G67" s="6" t="s">
        <v>574</v>
      </c>
      <c r="H67" s="6" t="s">
        <v>214</v>
      </c>
      <c r="I67" s="6" t="s">
        <v>221</v>
      </c>
      <c r="J67" s="6" t="s">
        <v>264</v>
      </c>
      <c r="K67" s="6" t="s">
        <v>215</v>
      </c>
      <c r="N67" s="6">
        <v>0</v>
      </c>
      <c r="S67" s="6">
        <v>1</v>
      </c>
      <c r="T67" s="6" t="s">
        <v>223</v>
      </c>
      <c r="U67" s="6" t="s">
        <v>224</v>
      </c>
      <c r="V67" s="6">
        <v>3</v>
      </c>
      <c r="W67" s="6" t="s">
        <v>225</v>
      </c>
      <c r="X67" s="5" t="s">
        <v>575</v>
      </c>
      <c r="AA67" s="6" t="s">
        <v>227</v>
      </c>
      <c r="AB67" s="6" t="s">
        <v>228</v>
      </c>
    </row>
    <row r="68" spans="1:36" ht="30.75">
      <c r="A68" s="6" t="s">
        <v>71</v>
      </c>
      <c r="B68" s="251" t="s">
        <v>267</v>
      </c>
      <c r="C68" s="5" t="s">
        <v>268</v>
      </c>
      <c r="E68" s="6" t="s">
        <v>1142</v>
      </c>
      <c r="F68" s="6" t="s">
        <v>219</v>
      </c>
      <c r="G68" s="6" t="s">
        <v>574</v>
      </c>
      <c r="H68" s="6" t="s">
        <v>214</v>
      </c>
      <c r="I68" s="6" t="s">
        <v>221</v>
      </c>
      <c r="J68" s="6" t="s">
        <v>269</v>
      </c>
      <c r="K68" s="6" t="s">
        <v>215</v>
      </c>
      <c r="N68" s="6">
        <v>0</v>
      </c>
      <c r="S68" s="6">
        <v>1</v>
      </c>
      <c r="T68" s="6" t="s">
        <v>223</v>
      </c>
      <c r="U68" s="6" t="s">
        <v>224</v>
      </c>
      <c r="V68" s="6">
        <v>3</v>
      </c>
      <c r="W68" s="6" t="s">
        <v>225</v>
      </c>
      <c r="X68" s="5" t="s">
        <v>576</v>
      </c>
      <c r="AA68" s="6" t="s">
        <v>227</v>
      </c>
      <c r="AB68" s="6" t="s">
        <v>228</v>
      </c>
    </row>
    <row r="69" spans="1:36" ht="30.75">
      <c r="A69" s="6" t="s">
        <v>72</v>
      </c>
      <c r="B69" s="251" t="s">
        <v>272</v>
      </c>
      <c r="C69" s="5" t="s">
        <v>273</v>
      </c>
      <c r="E69" s="6" t="s">
        <v>1143</v>
      </c>
      <c r="F69" s="6" t="s">
        <v>219</v>
      </c>
      <c r="G69" s="6" t="s">
        <v>574</v>
      </c>
      <c r="H69" s="6" t="s">
        <v>214</v>
      </c>
      <c r="I69" s="6" t="s">
        <v>221</v>
      </c>
      <c r="J69" s="6" t="s">
        <v>274</v>
      </c>
      <c r="K69" s="6" t="s">
        <v>215</v>
      </c>
      <c r="N69" s="6">
        <v>0</v>
      </c>
      <c r="S69" s="6">
        <v>1</v>
      </c>
      <c r="T69" s="6" t="s">
        <v>223</v>
      </c>
      <c r="U69" s="6" t="s">
        <v>224</v>
      </c>
      <c r="V69" s="6">
        <v>3</v>
      </c>
      <c r="W69" s="6" t="s">
        <v>225</v>
      </c>
      <c r="X69" s="5" t="s">
        <v>577</v>
      </c>
      <c r="AA69" s="6" t="s">
        <v>227</v>
      </c>
      <c r="AB69" s="6" t="s">
        <v>228</v>
      </c>
    </row>
    <row r="70" spans="1:36" ht="30.75">
      <c r="A70" s="6" t="s">
        <v>73</v>
      </c>
      <c r="B70" s="251" t="s">
        <v>278</v>
      </c>
      <c r="C70" s="5" t="s">
        <v>279</v>
      </c>
      <c r="E70" s="6" t="s">
        <v>1144</v>
      </c>
      <c r="F70" s="6" t="s">
        <v>219</v>
      </c>
      <c r="G70" s="6" t="s">
        <v>574</v>
      </c>
      <c r="H70" s="6" t="s">
        <v>214</v>
      </c>
      <c r="I70" s="6" t="s">
        <v>221</v>
      </c>
      <c r="J70" s="6" t="s">
        <v>280</v>
      </c>
      <c r="K70" s="6" t="s">
        <v>215</v>
      </c>
      <c r="N70" s="6">
        <v>0</v>
      </c>
      <c r="S70" s="6">
        <v>1</v>
      </c>
      <c r="T70" s="6" t="s">
        <v>223</v>
      </c>
      <c r="U70" s="6" t="s">
        <v>224</v>
      </c>
      <c r="V70" s="6">
        <v>3</v>
      </c>
      <c r="W70" s="6" t="s">
        <v>225</v>
      </c>
      <c r="X70" s="5" t="s">
        <v>578</v>
      </c>
      <c r="AA70" s="6" t="s">
        <v>227</v>
      </c>
      <c r="AB70" s="6" t="s">
        <v>228</v>
      </c>
    </row>
    <row r="71" spans="1:36" ht="30.75">
      <c r="A71" s="6" t="s">
        <v>74</v>
      </c>
      <c r="B71" s="251" t="s">
        <v>1085</v>
      </c>
      <c r="C71" s="5" t="s">
        <v>285</v>
      </c>
      <c r="E71" s="6" t="s">
        <v>1145</v>
      </c>
      <c r="F71" s="6" t="s">
        <v>286</v>
      </c>
      <c r="G71" s="6" t="s">
        <v>574</v>
      </c>
      <c r="H71" s="16" t="s">
        <v>287</v>
      </c>
      <c r="I71" s="6" t="s">
        <v>288</v>
      </c>
      <c r="K71" s="6" t="s">
        <v>215</v>
      </c>
      <c r="N71" s="6">
        <v>0</v>
      </c>
      <c r="S71" s="6">
        <v>1</v>
      </c>
      <c r="U71" s="6" t="s">
        <v>224</v>
      </c>
      <c r="V71" s="6">
        <v>3</v>
      </c>
      <c r="W71" s="6" t="s">
        <v>225</v>
      </c>
      <c r="X71" s="5" t="s">
        <v>579</v>
      </c>
      <c r="AC71" s="6" t="s">
        <v>290</v>
      </c>
      <c r="AD71" s="6" t="s">
        <v>291</v>
      </c>
      <c r="AE71" s="6" t="s">
        <v>292</v>
      </c>
      <c r="AF71" s="6" t="s">
        <v>293</v>
      </c>
      <c r="AG71" s="6" t="s">
        <v>294</v>
      </c>
      <c r="AH71" s="6">
        <v>0</v>
      </c>
      <c r="AI71" s="6" t="s">
        <v>214</v>
      </c>
      <c r="AJ71" s="6" t="s">
        <v>295</v>
      </c>
    </row>
    <row r="72" spans="1:36" ht="30.75">
      <c r="A72" s="6" t="s">
        <v>75</v>
      </c>
      <c r="B72" s="251" t="s">
        <v>1085</v>
      </c>
      <c r="C72" s="5" t="s">
        <v>298</v>
      </c>
      <c r="E72" s="6" t="s">
        <v>589</v>
      </c>
      <c r="F72" s="6" t="s">
        <v>286</v>
      </c>
      <c r="G72" s="6" t="s">
        <v>574</v>
      </c>
      <c r="H72" s="16" t="s">
        <v>287</v>
      </c>
      <c r="I72" s="6" t="s">
        <v>288</v>
      </c>
      <c r="K72" s="6" t="s">
        <v>215</v>
      </c>
      <c r="N72" s="6">
        <v>0</v>
      </c>
      <c r="S72" s="6">
        <v>1</v>
      </c>
      <c r="U72" s="6" t="s">
        <v>224</v>
      </c>
      <c r="V72" s="6">
        <v>3</v>
      </c>
      <c r="W72" s="6" t="s">
        <v>225</v>
      </c>
      <c r="X72" s="5" t="s">
        <v>581</v>
      </c>
      <c r="AC72" s="6" t="s">
        <v>290</v>
      </c>
      <c r="AD72" s="6" t="s">
        <v>291</v>
      </c>
      <c r="AE72" s="6" t="s">
        <v>300</v>
      </c>
      <c r="AF72" s="6" t="s">
        <v>301</v>
      </c>
      <c r="AG72" s="6" t="s">
        <v>294</v>
      </c>
      <c r="AH72" s="6">
        <v>0</v>
      </c>
      <c r="AI72" s="6" t="s">
        <v>214</v>
      </c>
      <c r="AJ72" s="6" t="s">
        <v>295</v>
      </c>
    </row>
    <row r="73" spans="1:36" ht="30.75">
      <c r="A73" s="6" t="s">
        <v>76</v>
      </c>
      <c r="B73" s="251" t="s">
        <v>1085</v>
      </c>
      <c r="C73" s="5" t="s">
        <v>303</v>
      </c>
      <c r="E73" s="6" t="s">
        <v>1146</v>
      </c>
      <c r="F73" s="6" t="s">
        <v>286</v>
      </c>
      <c r="G73" s="6" t="s">
        <v>574</v>
      </c>
      <c r="H73" s="16" t="s">
        <v>287</v>
      </c>
      <c r="I73" s="6" t="s">
        <v>288</v>
      </c>
      <c r="K73" s="6" t="s">
        <v>215</v>
      </c>
      <c r="N73" s="6">
        <v>0</v>
      </c>
      <c r="S73" s="6">
        <v>1</v>
      </c>
      <c r="U73" s="6" t="s">
        <v>224</v>
      </c>
      <c r="V73" s="6">
        <v>3</v>
      </c>
      <c r="W73" s="6" t="s">
        <v>225</v>
      </c>
      <c r="X73" s="5" t="s">
        <v>583</v>
      </c>
      <c r="AC73" s="6" t="s">
        <v>290</v>
      </c>
      <c r="AD73" s="6" t="s">
        <v>291</v>
      </c>
      <c r="AE73" s="6" t="s">
        <v>305</v>
      </c>
      <c r="AF73" s="6" t="s">
        <v>306</v>
      </c>
      <c r="AG73" s="6" t="s">
        <v>294</v>
      </c>
      <c r="AH73" s="6">
        <v>0</v>
      </c>
      <c r="AI73" s="6" t="s">
        <v>214</v>
      </c>
      <c r="AJ73" s="6" t="s">
        <v>295</v>
      </c>
    </row>
    <row r="74" spans="1:36" ht="30.75">
      <c r="A74" s="6" t="s">
        <v>77</v>
      </c>
      <c r="B74" s="251" t="s">
        <v>1085</v>
      </c>
      <c r="C74" s="5" t="s">
        <v>308</v>
      </c>
      <c r="E74" s="6" t="s">
        <v>1147</v>
      </c>
      <c r="F74" s="6" t="s">
        <v>286</v>
      </c>
      <c r="G74" s="6" t="s">
        <v>574</v>
      </c>
      <c r="H74" s="16" t="s">
        <v>287</v>
      </c>
      <c r="I74" s="6" t="s">
        <v>288</v>
      </c>
      <c r="K74" s="6" t="s">
        <v>215</v>
      </c>
      <c r="N74" s="6">
        <v>0</v>
      </c>
      <c r="S74" s="6">
        <v>1</v>
      </c>
      <c r="U74" s="6" t="s">
        <v>224</v>
      </c>
      <c r="V74" s="6">
        <v>3</v>
      </c>
      <c r="W74" s="6" t="s">
        <v>225</v>
      </c>
      <c r="X74" s="5" t="s">
        <v>585</v>
      </c>
      <c r="AC74" s="6" t="s">
        <v>290</v>
      </c>
      <c r="AD74" s="6" t="s">
        <v>291</v>
      </c>
      <c r="AE74" s="6" t="s">
        <v>310</v>
      </c>
      <c r="AF74" s="6" t="s">
        <v>311</v>
      </c>
      <c r="AG74" s="6" t="s">
        <v>294</v>
      </c>
      <c r="AH74" s="6">
        <v>0</v>
      </c>
      <c r="AI74" s="6" t="s">
        <v>214</v>
      </c>
      <c r="AJ74" s="6" t="s">
        <v>295</v>
      </c>
    </row>
    <row r="75" spans="1:36" s="20" customFormat="1" ht="76.5">
      <c r="A75" s="20" t="s">
        <v>78</v>
      </c>
      <c r="B75" s="249" t="s">
        <v>1090</v>
      </c>
      <c r="C75" s="2" t="s">
        <v>587</v>
      </c>
      <c r="D75" s="2"/>
      <c r="E75" s="20" t="s">
        <v>1148</v>
      </c>
      <c r="F75" s="20" t="s">
        <v>315</v>
      </c>
      <c r="G75" s="20" t="s">
        <v>574</v>
      </c>
      <c r="H75" s="20" t="s">
        <v>316</v>
      </c>
      <c r="I75" s="20" t="s">
        <v>317</v>
      </c>
      <c r="L75" s="20" t="s">
        <v>318</v>
      </c>
      <c r="M75" s="21" t="s">
        <v>319</v>
      </c>
      <c r="N75" s="20">
        <v>0</v>
      </c>
      <c r="S75" s="20">
        <v>1</v>
      </c>
      <c r="U75" s="20" t="s">
        <v>224</v>
      </c>
      <c r="W75" s="20" t="s">
        <v>320</v>
      </c>
      <c r="X75" s="2" t="s">
        <v>588</v>
      </c>
      <c r="Y75" s="20" t="s">
        <v>332</v>
      </c>
    </row>
    <row r="76" spans="1:36" ht="45.75">
      <c r="A76" s="6" t="s">
        <v>79</v>
      </c>
      <c r="B76" s="251" t="s">
        <v>163</v>
      </c>
      <c r="C76" s="5" t="s">
        <v>323</v>
      </c>
      <c r="E76" s="6" t="s">
        <v>1149</v>
      </c>
      <c r="F76" s="6" t="s">
        <v>219</v>
      </c>
      <c r="G76" s="6" t="s">
        <v>574</v>
      </c>
      <c r="H76" s="6" t="s">
        <v>214</v>
      </c>
      <c r="I76" s="6" t="s">
        <v>221</v>
      </c>
      <c r="J76" s="6" t="s">
        <v>324</v>
      </c>
      <c r="K76" s="6" t="s">
        <v>215</v>
      </c>
      <c r="N76" s="6">
        <v>0</v>
      </c>
      <c r="S76" s="6">
        <v>1</v>
      </c>
      <c r="T76" s="6" t="s">
        <v>223</v>
      </c>
      <c r="U76" s="6" t="s">
        <v>224</v>
      </c>
      <c r="V76" s="6">
        <v>3</v>
      </c>
      <c r="W76" s="6" t="s">
        <v>225</v>
      </c>
      <c r="X76" s="5" t="s">
        <v>590</v>
      </c>
      <c r="AA76" s="6" t="s">
        <v>227</v>
      </c>
      <c r="AB76" s="6" t="s">
        <v>228</v>
      </c>
    </row>
    <row r="77" spans="1:36" ht="30.75">
      <c r="A77" s="6" t="s">
        <v>80</v>
      </c>
      <c r="B77" s="251" t="s">
        <v>592</v>
      </c>
      <c r="C77" s="5" t="s">
        <v>593</v>
      </c>
      <c r="E77" s="6" t="s">
        <v>1150</v>
      </c>
      <c r="F77" s="6" t="s">
        <v>219</v>
      </c>
      <c r="G77" s="6" t="s">
        <v>574</v>
      </c>
      <c r="H77" s="6" t="s">
        <v>214</v>
      </c>
      <c r="I77" s="6" t="s">
        <v>221</v>
      </c>
      <c r="J77" s="6" t="s">
        <v>594</v>
      </c>
      <c r="K77" s="6" t="s">
        <v>215</v>
      </c>
      <c r="N77" s="6">
        <v>0</v>
      </c>
      <c r="S77" s="6">
        <v>1</v>
      </c>
      <c r="T77" s="6" t="s">
        <v>223</v>
      </c>
      <c r="U77" s="6" t="s">
        <v>224</v>
      </c>
      <c r="V77" s="6">
        <v>3</v>
      </c>
      <c r="W77" s="6" t="s">
        <v>225</v>
      </c>
      <c r="X77" s="5" t="s">
        <v>595</v>
      </c>
      <c r="AA77" s="6" t="s">
        <v>227</v>
      </c>
      <c r="AB77" s="6" t="s">
        <v>228</v>
      </c>
    </row>
    <row r="78" spans="1:36" s="18" customFormat="1" ht="45.75">
      <c r="A78" s="18" t="s">
        <v>81</v>
      </c>
      <c r="B78" s="252" t="s">
        <v>1151</v>
      </c>
      <c r="C78" s="17" t="s">
        <v>597</v>
      </c>
      <c r="D78" s="17"/>
      <c r="E78" s="18" t="s">
        <v>1152</v>
      </c>
      <c r="F78" s="18" t="s">
        <v>315</v>
      </c>
      <c r="G78" s="18" t="s">
        <v>574</v>
      </c>
      <c r="H78" s="18" t="s">
        <v>316</v>
      </c>
      <c r="I78" s="18" t="s">
        <v>317</v>
      </c>
      <c r="L78" s="18" t="s">
        <v>329</v>
      </c>
      <c r="M78" s="19" t="s">
        <v>598</v>
      </c>
      <c r="N78" s="18">
        <v>0</v>
      </c>
      <c r="S78" s="18">
        <v>1</v>
      </c>
      <c r="U78" s="18" t="s">
        <v>224</v>
      </c>
      <c r="W78" s="18" t="s">
        <v>320</v>
      </c>
      <c r="X78" s="17" t="s">
        <v>599</v>
      </c>
      <c r="Y78" s="18" t="s">
        <v>332</v>
      </c>
    </row>
    <row r="79" spans="1:36" s="20" customFormat="1" ht="45.75">
      <c r="A79" s="20" t="s">
        <v>82</v>
      </c>
      <c r="B79" s="249" t="s">
        <v>1090</v>
      </c>
      <c r="C79" s="2" t="s">
        <v>601</v>
      </c>
      <c r="D79" s="2"/>
      <c r="E79" s="20" t="s">
        <v>1153</v>
      </c>
      <c r="F79" s="20" t="s">
        <v>315</v>
      </c>
      <c r="G79" s="20" t="s">
        <v>574</v>
      </c>
      <c r="H79" s="20" t="s">
        <v>316</v>
      </c>
      <c r="I79" s="20" t="s">
        <v>317</v>
      </c>
      <c r="L79" s="20" t="s">
        <v>318</v>
      </c>
      <c r="M79" s="21" t="s">
        <v>602</v>
      </c>
      <c r="N79" s="20">
        <v>0</v>
      </c>
      <c r="S79" s="20">
        <v>1</v>
      </c>
      <c r="U79" s="20" t="s">
        <v>224</v>
      </c>
      <c r="W79" s="20" t="s">
        <v>320</v>
      </c>
      <c r="X79" s="2" t="s">
        <v>603</v>
      </c>
      <c r="Y79" s="20" t="s">
        <v>332</v>
      </c>
    </row>
    <row r="80" spans="1:36" ht="30.75">
      <c r="A80" s="6" t="s">
        <v>83</v>
      </c>
      <c r="B80" s="251" t="s">
        <v>1090</v>
      </c>
      <c r="C80" s="5" t="s">
        <v>342</v>
      </c>
      <c r="E80" s="6" t="s">
        <v>1154</v>
      </c>
      <c r="F80" s="6" t="s">
        <v>219</v>
      </c>
      <c r="G80" s="6" t="s">
        <v>574</v>
      </c>
      <c r="H80" s="6" t="s">
        <v>214</v>
      </c>
      <c r="I80" s="6" t="s">
        <v>343</v>
      </c>
      <c r="J80" s="6" t="s">
        <v>605</v>
      </c>
      <c r="K80" s="6" t="s">
        <v>215</v>
      </c>
      <c r="N80" s="6">
        <v>0</v>
      </c>
      <c r="S80" s="6">
        <v>1</v>
      </c>
      <c r="T80" s="6" t="s">
        <v>223</v>
      </c>
      <c r="U80" s="6" t="s">
        <v>224</v>
      </c>
      <c r="V80" s="6">
        <v>3</v>
      </c>
      <c r="W80" s="6" t="s">
        <v>225</v>
      </c>
      <c r="X80" s="5" t="s">
        <v>606</v>
      </c>
      <c r="AA80" s="6" t="s">
        <v>346</v>
      </c>
      <c r="AB80" s="6" t="s">
        <v>347</v>
      </c>
    </row>
    <row r="81" spans="1:39" ht="45.75">
      <c r="A81" s="6" t="s">
        <v>84</v>
      </c>
      <c r="B81" s="251" t="s">
        <v>1090</v>
      </c>
      <c r="C81" s="5" t="s">
        <v>609</v>
      </c>
      <c r="E81" s="6" t="s">
        <v>1155</v>
      </c>
      <c r="F81" s="6" t="s">
        <v>219</v>
      </c>
      <c r="G81" s="6" t="s">
        <v>574</v>
      </c>
      <c r="H81" s="6" t="s">
        <v>214</v>
      </c>
      <c r="I81" s="6" t="s">
        <v>221</v>
      </c>
      <c r="J81" s="6" t="s">
        <v>352</v>
      </c>
      <c r="K81" s="6" t="s">
        <v>215</v>
      </c>
      <c r="N81" s="6">
        <v>0</v>
      </c>
      <c r="S81" s="6">
        <v>1</v>
      </c>
      <c r="T81" s="6" t="s">
        <v>223</v>
      </c>
      <c r="U81" s="6" t="s">
        <v>224</v>
      </c>
      <c r="V81" s="6">
        <v>3</v>
      </c>
      <c r="W81" s="6" t="s">
        <v>225</v>
      </c>
      <c r="X81" s="5" t="s">
        <v>610</v>
      </c>
      <c r="AA81" s="6" t="s">
        <v>227</v>
      </c>
      <c r="AB81" s="6" t="s">
        <v>228</v>
      </c>
    </row>
    <row r="82" spans="1:39" s="14" customFormat="1" ht="45.75">
      <c r="A82" s="13" t="s">
        <v>1156</v>
      </c>
      <c r="B82" s="253" t="s">
        <v>357</v>
      </c>
      <c r="C82" s="13" t="s">
        <v>615</v>
      </c>
      <c r="D82" s="13" t="s">
        <v>1098</v>
      </c>
      <c r="E82" s="14" t="s">
        <v>1157</v>
      </c>
      <c r="F82" s="14" t="s">
        <v>219</v>
      </c>
      <c r="G82" s="14" t="s">
        <v>574</v>
      </c>
      <c r="H82" s="14" t="s">
        <v>214</v>
      </c>
      <c r="I82" s="14" t="s">
        <v>221</v>
      </c>
      <c r="J82" s="14" t="s">
        <v>359</v>
      </c>
      <c r="K82" s="14" t="s">
        <v>215</v>
      </c>
      <c r="N82" s="14">
        <v>0</v>
      </c>
      <c r="S82" s="14">
        <v>1</v>
      </c>
      <c r="T82" s="14" t="s">
        <v>223</v>
      </c>
      <c r="U82" s="14" t="s">
        <v>224</v>
      </c>
      <c r="V82" s="14">
        <v>3</v>
      </c>
      <c r="W82" s="14" t="s">
        <v>225</v>
      </c>
      <c r="X82" s="13" t="s">
        <v>616</v>
      </c>
      <c r="AA82" s="14" t="s">
        <v>227</v>
      </c>
      <c r="AB82" s="14" t="s">
        <v>228</v>
      </c>
    </row>
    <row r="83" spans="1:39" ht="30.75">
      <c r="A83" s="6" t="s">
        <v>86</v>
      </c>
      <c r="B83" s="251" t="s">
        <v>644</v>
      </c>
      <c r="C83" s="5" t="s">
        <v>619</v>
      </c>
      <c r="F83" s="6" t="s">
        <v>315</v>
      </c>
      <c r="H83" s="6" t="s">
        <v>316</v>
      </c>
      <c r="I83" s="6" t="s">
        <v>371</v>
      </c>
      <c r="L83" s="6" t="s">
        <v>329</v>
      </c>
      <c r="M83" s="14" t="s">
        <v>620</v>
      </c>
      <c r="N83" s="6">
        <v>0</v>
      </c>
      <c r="S83" s="6">
        <v>1</v>
      </c>
      <c r="U83" s="6" t="s">
        <v>224</v>
      </c>
      <c r="W83" s="6" t="s">
        <v>320</v>
      </c>
      <c r="X83" s="5" t="s">
        <v>621</v>
      </c>
      <c r="Y83" s="6" t="s">
        <v>332</v>
      </c>
    </row>
    <row r="84" spans="1:39">
      <c r="A84" s="6" t="s">
        <v>88</v>
      </c>
      <c r="B84" s="251" t="s">
        <v>163</v>
      </c>
      <c r="C84" s="5" t="s">
        <v>624</v>
      </c>
      <c r="F84" s="6" t="s">
        <v>213</v>
      </c>
      <c r="H84" s="6" t="s">
        <v>214</v>
      </c>
      <c r="K84" s="6" t="s">
        <v>215</v>
      </c>
      <c r="N84" s="6">
        <v>1</v>
      </c>
      <c r="P84" s="8">
        <v>0.16666666666666666</v>
      </c>
      <c r="Q84" s="6" t="s">
        <v>625</v>
      </c>
      <c r="S84" s="6">
        <v>1</v>
      </c>
      <c r="V84" s="6">
        <v>3</v>
      </c>
    </row>
    <row r="85" spans="1:39" ht="60.75">
      <c r="A85" s="14" t="s">
        <v>89</v>
      </c>
      <c r="B85" s="254" t="s">
        <v>627</v>
      </c>
      <c r="C85" s="13" t="s">
        <v>628</v>
      </c>
      <c r="D85" s="13"/>
      <c r="E85" s="14"/>
      <c r="F85" s="14" t="s">
        <v>219</v>
      </c>
      <c r="G85" s="14" t="s">
        <v>629</v>
      </c>
      <c r="H85" s="14" t="s">
        <v>214</v>
      </c>
      <c r="I85" s="14" t="s">
        <v>221</v>
      </c>
      <c r="J85" s="14" t="s">
        <v>630</v>
      </c>
      <c r="K85" s="14" t="s">
        <v>215</v>
      </c>
      <c r="L85" s="14"/>
      <c r="M85" s="14"/>
      <c r="N85" s="14">
        <v>0</v>
      </c>
      <c r="O85" s="14"/>
      <c r="P85" s="14"/>
      <c r="Q85" s="14"/>
      <c r="R85" s="14"/>
      <c r="S85" s="14">
        <v>1</v>
      </c>
      <c r="T85" s="14" t="s">
        <v>223</v>
      </c>
      <c r="U85" s="14" t="s">
        <v>224</v>
      </c>
      <c r="V85" s="14">
        <v>3</v>
      </c>
      <c r="W85" s="14" t="s">
        <v>225</v>
      </c>
      <c r="X85" s="13" t="s">
        <v>631</v>
      </c>
      <c r="Y85" s="14"/>
      <c r="Z85" s="14"/>
      <c r="AA85" s="14" t="s">
        <v>227</v>
      </c>
      <c r="AB85" s="14" t="s">
        <v>228</v>
      </c>
      <c r="AC85" s="14"/>
      <c r="AD85" s="14"/>
      <c r="AE85" s="14"/>
      <c r="AF85" s="14"/>
      <c r="AG85" s="14"/>
      <c r="AH85" s="14"/>
      <c r="AI85" s="14"/>
      <c r="AJ85" s="14"/>
      <c r="AK85" s="14"/>
      <c r="AL85" s="14"/>
      <c r="AM85" s="14"/>
    </row>
    <row r="86" spans="1:39" ht="60.75">
      <c r="A86" s="14" t="s">
        <v>90</v>
      </c>
      <c r="B86" s="254" t="s">
        <v>633</v>
      </c>
      <c r="C86" s="13" t="s">
        <v>634</v>
      </c>
      <c r="D86" s="13"/>
      <c r="E86" s="14" t="s">
        <v>663</v>
      </c>
      <c r="F86" s="14" t="s">
        <v>219</v>
      </c>
      <c r="G86" s="14" t="s">
        <v>629</v>
      </c>
      <c r="H86" s="14" t="s">
        <v>214</v>
      </c>
      <c r="I86" s="14" t="s">
        <v>221</v>
      </c>
      <c r="J86" s="14" t="s">
        <v>635</v>
      </c>
      <c r="K86" s="14" t="s">
        <v>215</v>
      </c>
      <c r="L86" s="14"/>
      <c r="M86" s="14"/>
      <c r="N86" s="14">
        <v>0</v>
      </c>
      <c r="O86" s="14"/>
      <c r="P86" s="14"/>
      <c r="Q86" s="14"/>
      <c r="R86" s="14"/>
      <c r="S86" s="14">
        <v>1</v>
      </c>
      <c r="T86" s="14" t="s">
        <v>223</v>
      </c>
      <c r="U86" s="14" t="s">
        <v>224</v>
      </c>
      <c r="V86" s="14">
        <v>3</v>
      </c>
      <c r="W86" s="14" t="s">
        <v>225</v>
      </c>
      <c r="X86" s="13" t="s">
        <v>636</v>
      </c>
      <c r="Y86" s="14"/>
      <c r="Z86" s="14"/>
      <c r="AA86" s="14" t="s">
        <v>227</v>
      </c>
      <c r="AB86" s="14" t="s">
        <v>228</v>
      </c>
      <c r="AC86" s="14"/>
      <c r="AD86" s="14"/>
      <c r="AE86" s="14"/>
      <c r="AF86" s="14"/>
      <c r="AG86" s="14"/>
      <c r="AH86" s="14"/>
      <c r="AI86" s="14"/>
      <c r="AJ86" s="14"/>
      <c r="AK86" s="14"/>
      <c r="AL86" s="14"/>
      <c r="AM86" s="14"/>
    </row>
    <row r="87" spans="1:39" ht="76.5">
      <c r="A87" s="14" t="s">
        <v>91</v>
      </c>
      <c r="B87" s="254" t="s">
        <v>637</v>
      </c>
      <c r="C87" s="13" t="s">
        <v>638</v>
      </c>
      <c r="E87" s="14" t="s">
        <v>667</v>
      </c>
      <c r="F87" s="14" t="s">
        <v>219</v>
      </c>
      <c r="G87" s="14" t="s">
        <v>629</v>
      </c>
      <c r="H87" s="14" t="s">
        <v>214</v>
      </c>
      <c r="I87" s="14" t="s">
        <v>221</v>
      </c>
      <c r="J87" s="14" t="s">
        <v>639</v>
      </c>
      <c r="K87" s="14" t="s">
        <v>215</v>
      </c>
      <c r="L87" s="14"/>
      <c r="M87" s="14"/>
      <c r="N87" s="14">
        <v>0</v>
      </c>
      <c r="O87" s="14"/>
      <c r="P87" s="14"/>
      <c r="Q87" s="14"/>
      <c r="R87" s="14"/>
      <c r="S87" s="14">
        <v>1</v>
      </c>
      <c r="T87" s="14" t="s">
        <v>223</v>
      </c>
      <c r="U87" s="14" t="s">
        <v>224</v>
      </c>
      <c r="V87" s="14">
        <v>3</v>
      </c>
      <c r="W87" s="14" t="s">
        <v>225</v>
      </c>
      <c r="X87" s="13" t="s">
        <v>640</v>
      </c>
      <c r="Y87" s="14"/>
      <c r="Z87" s="14"/>
      <c r="AA87" s="14" t="s">
        <v>227</v>
      </c>
      <c r="AB87" s="14" t="s">
        <v>228</v>
      </c>
      <c r="AC87" s="14"/>
      <c r="AD87" s="14"/>
      <c r="AE87" s="14"/>
      <c r="AF87" s="14"/>
      <c r="AG87" s="14"/>
      <c r="AH87" s="14"/>
      <c r="AI87" s="14"/>
      <c r="AJ87" s="14"/>
      <c r="AK87" s="14"/>
      <c r="AL87" s="14"/>
      <c r="AM87" s="14"/>
    </row>
    <row r="88" spans="1:39" ht="76.5">
      <c r="A88" s="14" t="s">
        <v>93</v>
      </c>
      <c r="B88" s="254" t="s">
        <v>645</v>
      </c>
      <c r="C88" s="13" t="s">
        <v>646</v>
      </c>
      <c r="D88" s="13" t="s">
        <v>1158</v>
      </c>
      <c r="F88" s="14" t="s">
        <v>219</v>
      </c>
      <c r="G88" s="14"/>
      <c r="H88" s="14" t="s">
        <v>214</v>
      </c>
      <c r="I88" s="14" t="s">
        <v>221</v>
      </c>
      <c r="J88" s="14" t="s">
        <v>647</v>
      </c>
      <c r="K88" s="14" t="s">
        <v>215</v>
      </c>
      <c r="L88" s="14"/>
      <c r="M88" s="14"/>
      <c r="N88" s="14">
        <v>0</v>
      </c>
      <c r="O88" s="14"/>
      <c r="P88" s="15">
        <v>6.9444444444444447E-4</v>
      </c>
      <c r="Q88" s="14" t="s">
        <v>625</v>
      </c>
      <c r="R88" s="14"/>
      <c r="S88" s="14">
        <v>1</v>
      </c>
      <c r="T88" s="14" t="s">
        <v>223</v>
      </c>
      <c r="U88" s="14" t="s">
        <v>224</v>
      </c>
      <c r="V88" s="14">
        <v>3</v>
      </c>
      <c r="W88" s="14" t="s">
        <v>225</v>
      </c>
      <c r="X88" s="13" t="s">
        <v>648</v>
      </c>
      <c r="Y88" s="14"/>
      <c r="Z88" s="14"/>
      <c r="AA88" s="14" t="s">
        <v>227</v>
      </c>
      <c r="AB88" s="14" t="s">
        <v>228</v>
      </c>
      <c r="AC88" s="14"/>
      <c r="AD88" s="14"/>
      <c r="AE88" s="14"/>
      <c r="AF88" s="14"/>
      <c r="AG88" s="14"/>
      <c r="AH88" s="14"/>
      <c r="AI88" s="14"/>
      <c r="AJ88" s="14"/>
      <c r="AK88" s="14"/>
      <c r="AL88" s="14"/>
      <c r="AM88" s="14"/>
    </row>
    <row r="89" spans="1:39" ht="106.5">
      <c r="A89" s="6" t="s">
        <v>92</v>
      </c>
      <c r="B89" s="251" t="s">
        <v>627</v>
      </c>
      <c r="C89" s="5" t="s">
        <v>649</v>
      </c>
      <c r="E89" s="6" t="s">
        <v>1159</v>
      </c>
      <c r="F89" s="6" t="s">
        <v>219</v>
      </c>
      <c r="G89" s="6" t="s">
        <v>650</v>
      </c>
      <c r="H89" s="6" t="s">
        <v>214</v>
      </c>
      <c r="I89" s="6" t="s">
        <v>221</v>
      </c>
      <c r="J89" s="6" t="s">
        <v>651</v>
      </c>
      <c r="K89" s="6" t="s">
        <v>215</v>
      </c>
      <c r="N89" s="6">
        <v>0</v>
      </c>
      <c r="S89" s="6">
        <v>1</v>
      </c>
      <c r="T89" s="6" t="s">
        <v>223</v>
      </c>
      <c r="U89" s="6" t="s">
        <v>224</v>
      </c>
      <c r="V89" s="6">
        <v>3</v>
      </c>
      <c r="W89" s="6" t="s">
        <v>225</v>
      </c>
      <c r="X89" s="5" t="s">
        <v>652</v>
      </c>
      <c r="AA89" s="6" t="s">
        <v>227</v>
      </c>
      <c r="AB89" s="6" t="s">
        <v>228</v>
      </c>
    </row>
    <row r="90" spans="1:39" ht="30.75">
      <c r="A90" s="6" t="s">
        <v>95</v>
      </c>
      <c r="B90" s="251" t="s">
        <v>378</v>
      </c>
      <c r="C90" s="5" t="s">
        <v>653</v>
      </c>
      <c r="F90" s="6" t="s">
        <v>219</v>
      </c>
      <c r="G90" s="6" t="s">
        <v>654</v>
      </c>
      <c r="H90" s="6" t="s">
        <v>214</v>
      </c>
      <c r="I90" s="6" t="s">
        <v>221</v>
      </c>
      <c r="J90" s="6" t="s">
        <v>381</v>
      </c>
      <c r="K90" s="6" t="s">
        <v>215</v>
      </c>
      <c r="N90" s="6">
        <v>0</v>
      </c>
      <c r="S90" s="6">
        <v>1</v>
      </c>
      <c r="T90" s="6" t="s">
        <v>223</v>
      </c>
      <c r="U90" s="6" t="s">
        <v>224</v>
      </c>
      <c r="V90" s="6">
        <v>3</v>
      </c>
      <c r="W90" s="6" t="s">
        <v>225</v>
      </c>
      <c r="X90" s="5" t="s">
        <v>655</v>
      </c>
      <c r="AA90" s="6" t="s">
        <v>227</v>
      </c>
      <c r="AB90" s="6" t="s">
        <v>228</v>
      </c>
      <c r="AE90" s="6" t="s">
        <v>224</v>
      </c>
    </row>
    <row r="91" spans="1:39" ht="30.75">
      <c r="A91" s="6" t="s">
        <v>96</v>
      </c>
      <c r="B91" s="251" t="s">
        <v>387</v>
      </c>
      <c r="C91" s="5" t="s">
        <v>388</v>
      </c>
      <c r="E91" s="6" t="s">
        <v>1160</v>
      </c>
      <c r="F91" s="6" t="s">
        <v>219</v>
      </c>
      <c r="G91" s="6" t="s">
        <v>654</v>
      </c>
      <c r="H91" s="6" t="s">
        <v>214</v>
      </c>
      <c r="I91" s="6" t="s">
        <v>221</v>
      </c>
      <c r="J91" s="6" t="s">
        <v>389</v>
      </c>
      <c r="K91" s="6" t="s">
        <v>215</v>
      </c>
      <c r="N91" s="6">
        <v>0</v>
      </c>
      <c r="S91" s="6">
        <v>1</v>
      </c>
      <c r="T91" s="6" t="s">
        <v>223</v>
      </c>
      <c r="U91" s="6" t="s">
        <v>224</v>
      </c>
      <c r="V91" s="6">
        <v>3</v>
      </c>
      <c r="W91" s="6" t="s">
        <v>225</v>
      </c>
      <c r="X91" s="5" t="s">
        <v>656</v>
      </c>
      <c r="AA91" s="6" t="s">
        <v>227</v>
      </c>
      <c r="AB91" s="6" t="s">
        <v>228</v>
      </c>
    </row>
    <row r="92" spans="1:39" ht="30.75">
      <c r="A92" s="6" t="s">
        <v>97</v>
      </c>
      <c r="B92" s="251" t="s">
        <v>1161</v>
      </c>
      <c r="C92" s="5" t="s">
        <v>658</v>
      </c>
      <c r="E92" s="6" t="s">
        <v>1162</v>
      </c>
      <c r="F92" s="6" t="s">
        <v>286</v>
      </c>
      <c r="G92" s="6" t="s">
        <v>654</v>
      </c>
      <c r="H92" s="16" t="s">
        <v>287</v>
      </c>
      <c r="I92" s="6" t="s">
        <v>288</v>
      </c>
      <c r="K92" s="6" t="s">
        <v>215</v>
      </c>
      <c r="N92" s="6">
        <v>0</v>
      </c>
      <c r="S92" s="6">
        <v>1</v>
      </c>
      <c r="U92" s="6" t="s">
        <v>224</v>
      </c>
      <c r="V92" s="6">
        <v>3</v>
      </c>
      <c r="W92" s="6" t="s">
        <v>225</v>
      </c>
      <c r="X92" s="5" t="s">
        <v>659</v>
      </c>
      <c r="AC92" s="6" t="s">
        <v>290</v>
      </c>
      <c r="AD92" s="6" t="s">
        <v>291</v>
      </c>
      <c r="AE92" s="6" t="s">
        <v>393</v>
      </c>
      <c r="AF92" s="6" t="s">
        <v>394</v>
      </c>
      <c r="AG92" s="6" t="s">
        <v>294</v>
      </c>
      <c r="AH92" s="6">
        <v>0</v>
      </c>
      <c r="AI92" s="6" t="s">
        <v>214</v>
      </c>
      <c r="AJ92" s="6" t="s">
        <v>295</v>
      </c>
    </row>
    <row r="93" spans="1:39" ht="30.75">
      <c r="A93" s="6" t="s">
        <v>98</v>
      </c>
      <c r="B93" s="251" t="s">
        <v>1161</v>
      </c>
      <c r="C93" s="5" t="s">
        <v>661</v>
      </c>
      <c r="E93" s="6" t="s">
        <v>1163</v>
      </c>
      <c r="F93" s="6" t="s">
        <v>286</v>
      </c>
      <c r="G93" s="6" t="s">
        <v>654</v>
      </c>
      <c r="H93" s="16" t="s">
        <v>287</v>
      </c>
      <c r="I93" s="6" t="s">
        <v>288</v>
      </c>
      <c r="K93" s="6" t="s">
        <v>215</v>
      </c>
      <c r="N93" s="6">
        <v>0</v>
      </c>
      <c r="S93" s="6">
        <v>1</v>
      </c>
      <c r="U93" s="6" t="s">
        <v>224</v>
      </c>
      <c r="V93" s="6">
        <v>3</v>
      </c>
      <c r="W93" s="6" t="s">
        <v>225</v>
      </c>
      <c r="X93" s="5" t="s">
        <v>662</v>
      </c>
      <c r="AC93" s="6" t="s">
        <v>290</v>
      </c>
      <c r="AD93" s="6" t="s">
        <v>291</v>
      </c>
      <c r="AE93" s="6" t="s">
        <v>399</v>
      </c>
      <c r="AF93" s="6" t="s">
        <v>400</v>
      </c>
      <c r="AG93" s="6" t="s">
        <v>294</v>
      </c>
      <c r="AH93" s="6">
        <v>0</v>
      </c>
      <c r="AI93" s="6" t="s">
        <v>214</v>
      </c>
      <c r="AJ93" s="6" t="s">
        <v>295</v>
      </c>
    </row>
    <row r="94" spans="1:39" ht="30.75">
      <c r="A94" s="6" t="s">
        <v>99</v>
      </c>
      <c r="B94" s="251" t="s">
        <v>1161</v>
      </c>
      <c r="C94" s="5" t="s">
        <v>665</v>
      </c>
      <c r="E94" s="6" t="s">
        <v>1164</v>
      </c>
      <c r="F94" s="6" t="s">
        <v>286</v>
      </c>
      <c r="G94" s="6" t="s">
        <v>654</v>
      </c>
      <c r="H94" s="16" t="s">
        <v>287</v>
      </c>
      <c r="I94" s="6" t="s">
        <v>288</v>
      </c>
      <c r="K94" s="6" t="s">
        <v>215</v>
      </c>
      <c r="N94" s="6">
        <v>0</v>
      </c>
      <c r="S94" s="6">
        <v>1</v>
      </c>
      <c r="U94" s="6" t="s">
        <v>224</v>
      </c>
      <c r="V94" s="6">
        <v>3</v>
      </c>
      <c r="W94" s="6" t="s">
        <v>225</v>
      </c>
      <c r="X94" s="5" t="s">
        <v>666</v>
      </c>
      <c r="AC94" s="6" t="s">
        <v>290</v>
      </c>
      <c r="AD94" s="6" t="s">
        <v>291</v>
      </c>
      <c r="AE94" s="6" t="s">
        <v>405</v>
      </c>
      <c r="AF94" s="6" t="s">
        <v>406</v>
      </c>
      <c r="AG94" s="6" t="s">
        <v>294</v>
      </c>
      <c r="AH94" s="6">
        <v>0</v>
      </c>
      <c r="AI94" s="6" t="s">
        <v>214</v>
      </c>
      <c r="AJ94" s="6" t="s">
        <v>295</v>
      </c>
    </row>
    <row r="95" spans="1:39" ht="30.75">
      <c r="A95" s="6" t="s">
        <v>100</v>
      </c>
      <c r="B95" s="251" t="s">
        <v>408</v>
      </c>
      <c r="C95" s="5" t="s">
        <v>669</v>
      </c>
      <c r="E95" s="6" t="s">
        <v>691</v>
      </c>
      <c r="F95" s="6" t="s">
        <v>219</v>
      </c>
      <c r="G95" s="6" t="s">
        <v>654</v>
      </c>
      <c r="H95" s="6" t="s">
        <v>214</v>
      </c>
      <c r="I95" s="6" t="s">
        <v>221</v>
      </c>
      <c r="J95" s="6" t="s">
        <v>410</v>
      </c>
      <c r="K95" s="6" t="s">
        <v>215</v>
      </c>
      <c r="N95" s="6">
        <v>0</v>
      </c>
      <c r="S95" s="6">
        <v>1</v>
      </c>
      <c r="T95" s="6" t="s">
        <v>223</v>
      </c>
      <c r="U95" s="6" t="s">
        <v>224</v>
      </c>
      <c r="V95" s="6">
        <v>3</v>
      </c>
      <c r="W95" s="6" t="s">
        <v>225</v>
      </c>
      <c r="X95" s="5" t="s">
        <v>670</v>
      </c>
      <c r="AA95" s="6" t="s">
        <v>227</v>
      </c>
      <c r="AB95" s="6" t="s">
        <v>228</v>
      </c>
    </row>
    <row r="96" spans="1:39" ht="30.75">
      <c r="A96" s="6" t="s">
        <v>101</v>
      </c>
      <c r="B96" s="251" t="s">
        <v>1161</v>
      </c>
      <c r="C96" s="5" t="s">
        <v>673</v>
      </c>
      <c r="E96" s="6" t="s">
        <v>694</v>
      </c>
      <c r="F96" s="6" t="s">
        <v>286</v>
      </c>
      <c r="G96" s="6" t="s">
        <v>654</v>
      </c>
      <c r="H96" s="16" t="s">
        <v>287</v>
      </c>
      <c r="I96" s="6" t="s">
        <v>288</v>
      </c>
      <c r="K96" s="6" t="s">
        <v>215</v>
      </c>
      <c r="N96" s="6">
        <v>0</v>
      </c>
      <c r="S96" s="6">
        <v>1</v>
      </c>
      <c r="U96" s="6" t="s">
        <v>224</v>
      </c>
      <c r="V96" s="6">
        <v>3</v>
      </c>
      <c r="W96" s="6" t="s">
        <v>225</v>
      </c>
      <c r="X96" s="5" t="s">
        <v>674</v>
      </c>
      <c r="AC96" s="6" t="s">
        <v>290</v>
      </c>
      <c r="AD96" s="6" t="s">
        <v>291</v>
      </c>
      <c r="AE96" s="6" t="s">
        <v>415</v>
      </c>
      <c r="AF96" s="6" t="s">
        <v>675</v>
      </c>
      <c r="AG96" s="6" t="s">
        <v>294</v>
      </c>
      <c r="AH96" s="6">
        <v>0</v>
      </c>
      <c r="AI96" s="6" t="s">
        <v>214</v>
      </c>
      <c r="AJ96" s="6" t="s">
        <v>295</v>
      </c>
    </row>
    <row r="97" spans="1:36">
      <c r="A97" s="6" t="s">
        <v>102</v>
      </c>
      <c r="B97" s="251" t="s">
        <v>261</v>
      </c>
      <c r="C97" s="5" t="s">
        <v>573</v>
      </c>
      <c r="E97" s="6" t="s">
        <v>1165</v>
      </c>
      <c r="F97" s="6" t="s">
        <v>219</v>
      </c>
      <c r="G97" s="6" t="s">
        <v>654</v>
      </c>
      <c r="H97" s="6" t="s">
        <v>214</v>
      </c>
      <c r="I97" s="6" t="s">
        <v>221</v>
      </c>
      <c r="J97" s="6" t="s">
        <v>264</v>
      </c>
      <c r="K97" s="6" t="s">
        <v>215</v>
      </c>
      <c r="N97" s="6">
        <v>0</v>
      </c>
      <c r="S97" s="6">
        <v>1</v>
      </c>
      <c r="T97" s="6" t="s">
        <v>223</v>
      </c>
      <c r="U97" s="6" t="s">
        <v>224</v>
      </c>
      <c r="V97" s="6">
        <v>3</v>
      </c>
      <c r="W97" s="6" t="s">
        <v>225</v>
      </c>
      <c r="X97" s="5" t="s">
        <v>676</v>
      </c>
      <c r="AA97" s="6" t="s">
        <v>227</v>
      </c>
      <c r="AB97" s="6" t="s">
        <v>228</v>
      </c>
    </row>
    <row r="98" spans="1:36" ht="30.75">
      <c r="A98" s="6" t="s">
        <v>103</v>
      </c>
      <c r="B98" s="251" t="s">
        <v>267</v>
      </c>
      <c r="C98" s="5" t="s">
        <v>268</v>
      </c>
      <c r="E98" s="6" t="s">
        <v>1166</v>
      </c>
      <c r="F98" s="6" t="s">
        <v>219</v>
      </c>
      <c r="G98" s="6" t="s">
        <v>654</v>
      </c>
      <c r="H98" s="6" t="s">
        <v>214</v>
      </c>
      <c r="I98" s="6" t="s">
        <v>221</v>
      </c>
      <c r="J98" s="6" t="s">
        <v>269</v>
      </c>
      <c r="K98" s="6" t="s">
        <v>215</v>
      </c>
      <c r="N98" s="6">
        <v>0</v>
      </c>
      <c r="S98" s="6">
        <v>1</v>
      </c>
      <c r="T98" s="6" t="s">
        <v>223</v>
      </c>
      <c r="U98" s="6" t="s">
        <v>224</v>
      </c>
      <c r="V98" s="6">
        <v>3</v>
      </c>
      <c r="W98" s="6" t="s">
        <v>225</v>
      </c>
      <c r="X98" s="5" t="s">
        <v>677</v>
      </c>
      <c r="AA98" s="6" t="s">
        <v>227</v>
      </c>
      <c r="AB98" s="6" t="s">
        <v>228</v>
      </c>
    </row>
    <row r="99" spans="1:36" ht="30.75">
      <c r="A99" s="6" t="s">
        <v>104</v>
      </c>
      <c r="B99" s="251" t="s">
        <v>272</v>
      </c>
      <c r="C99" s="5" t="s">
        <v>273</v>
      </c>
      <c r="E99" s="6" t="s">
        <v>1167</v>
      </c>
      <c r="F99" s="6" t="s">
        <v>219</v>
      </c>
      <c r="G99" s="6" t="s">
        <v>654</v>
      </c>
      <c r="H99" s="6" t="s">
        <v>214</v>
      </c>
      <c r="I99" s="6" t="s">
        <v>221</v>
      </c>
      <c r="J99" s="6" t="s">
        <v>274</v>
      </c>
      <c r="K99" s="6" t="s">
        <v>215</v>
      </c>
      <c r="N99" s="6">
        <v>0</v>
      </c>
      <c r="S99" s="6">
        <v>1</v>
      </c>
      <c r="T99" s="6" t="s">
        <v>223</v>
      </c>
      <c r="U99" s="6" t="s">
        <v>224</v>
      </c>
      <c r="V99" s="6">
        <v>3</v>
      </c>
      <c r="W99" s="6" t="s">
        <v>225</v>
      </c>
      <c r="X99" s="5" t="s">
        <v>678</v>
      </c>
      <c r="AA99" s="6" t="s">
        <v>227</v>
      </c>
      <c r="AB99" s="6" t="s">
        <v>228</v>
      </c>
    </row>
    <row r="100" spans="1:36" ht="30.75">
      <c r="A100" s="6" t="s">
        <v>105</v>
      </c>
      <c r="B100" s="251" t="s">
        <v>278</v>
      </c>
      <c r="C100" s="5" t="s">
        <v>279</v>
      </c>
      <c r="E100" s="6" t="s">
        <v>1168</v>
      </c>
      <c r="F100" s="6" t="s">
        <v>219</v>
      </c>
      <c r="G100" s="6" t="s">
        <v>654</v>
      </c>
      <c r="H100" s="6" t="s">
        <v>214</v>
      </c>
      <c r="I100" s="6" t="s">
        <v>221</v>
      </c>
      <c r="J100" s="6" t="s">
        <v>280</v>
      </c>
      <c r="K100" s="6" t="s">
        <v>215</v>
      </c>
      <c r="N100" s="6">
        <v>0</v>
      </c>
      <c r="S100" s="6">
        <v>1</v>
      </c>
      <c r="T100" s="6" t="s">
        <v>223</v>
      </c>
      <c r="U100" s="6" t="s">
        <v>224</v>
      </c>
      <c r="V100" s="6">
        <v>3</v>
      </c>
      <c r="W100" s="6" t="s">
        <v>225</v>
      </c>
      <c r="X100" s="5" t="s">
        <v>680</v>
      </c>
      <c r="AA100" s="6" t="s">
        <v>227</v>
      </c>
      <c r="AB100" s="6" t="s">
        <v>228</v>
      </c>
    </row>
    <row r="101" spans="1:36" ht="30.75">
      <c r="A101" s="6" t="s">
        <v>106</v>
      </c>
      <c r="B101" s="251" t="s">
        <v>1161</v>
      </c>
      <c r="C101" s="5" t="s">
        <v>285</v>
      </c>
      <c r="E101" s="6" t="s">
        <v>1169</v>
      </c>
      <c r="F101" s="6" t="s">
        <v>286</v>
      </c>
      <c r="G101" s="6" t="s">
        <v>654</v>
      </c>
      <c r="H101" s="16" t="s">
        <v>287</v>
      </c>
      <c r="I101" s="6" t="s">
        <v>288</v>
      </c>
      <c r="K101" s="6" t="s">
        <v>215</v>
      </c>
      <c r="N101" s="6">
        <v>0</v>
      </c>
      <c r="S101" s="6">
        <v>1</v>
      </c>
      <c r="U101" s="6" t="s">
        <v>224</v>
      </c>
      <c r="V101" s="6">
        <v>3</v>
      </c>
      <c r="W101" s="6" t="s">
        <v>225</v>
      </c>
      <c r="X101" s="5" t="s">
        <v>681</v>
      </c>
      <c r="AC101" s="6" t="s">
        <v>290</v>
      </c>
      <c r="AD101" s="6" t="s">
        <v>291</v>
      </c>
      <c r="AE101" s="6" t="s">
        <v>292</v>
      </c>
      <c r="AF101" s="6" t="s">
        <v>293</v>
      </c>
      <c r="AG101" s="6" t="s">
        <v>294</v>
      </c>
      <c r="AH101" s="6">
        <v>0</v>
      </c>
      <c r="AI101" s="6" t="s">
        <v>214</v>
      </c>
      <c r="AJ101" s="6" t="s">
        <v>295</v>
      </c>
    </row>
    <row r="102" spans="1:36" ht="30.75">
      <c r="A102" s="6" t="s">
        <v>107</v>
      </c>
      <c r="B102" s="251" t="s">
        <v>1161</v>
      </c>
      <c r="C102" s="5" t="s">
        <v>298</v>
      </c>
      <c r="E102" s="6" t="s">
        <v>1170</v>
      </c>
      <c r="F102" s="6" t="s">
        <v>286</v>
      </c>
      <c r="G102" s="6" t="s">
        <v>654</v>
      </c>
      <c r="H102" s="16" t="s">
        <v>287</v>
      </c>
      <c r="I102" s="6" t="s">
        <v>288</v>
      </c>
      <c r="K102" s="6" t="s">
        <v>215</v>
      </c>
      <c r="N102" s="6">
        <v>0</v>
      </c>
      <c r="S102" s="6">
        <v>1</v>
      </c>
      <c r="U102" s="6" t="s">
        <v>224</v>
      </c>
      <c r="V102" s="6">
        <v>3</v>
      </c>
      <c r="W102" s="6" t="s">
        <v>225</v>
      </c>
      <c r="X102" s="5" t="s">
        <v>683</v>
      </c>
      <c r="AC102" s="6" t="s">
        <v>290</v>
      </c>
      <c r="AD102" s="6" t="s">
        <v>291</v>
      </c>
      <c r="AE102" s="6" t="s">
        <v>300</v>
      </c>
      <c r="AF102" s="6" t="s">
        <v>301</v>
      </c>
      <c r="AG102" s="6" t="s">
        <v>294</v>
      </c>
      <c r="AH102" s="6">
        <v>0</v>
      </c>
      <c r="AI102" s="6" t="s">
        <v>214</v>
      </c>
      <c r="AJ102" s="6" t="s">
        <v>295</v>
      </c>
    </row>
    <row r="103" spans="1:36" ht="30.75">
      <c r="A103" s="6" t="s">
        <v>108</v>
      </c>
      <c r="B103" s="251" t="s">
        <v>1161</v>
      </c>
      <c r="C103" s="5" t="s">
        <v>303</v>
      </c>
      <c r="E103" s="6" t="s">
        <v>1171</v>
      </c>
      <c r="F103" s="6" t="s">
        <v>286</v>
      </c>
      <c r="G103" s="6" t="s">
        <v>654</v>
      </c>
      <c r="H103" s="16" t="s">
        <v>287</v>
      </c>
      <c r="I103" s="6" t="s">
        <v>288</v>
      </c>
      <c r="K103" s="6" t="s">
        <v>215</v>
      </c>
      <c r="N103" s="6">
        <v>0</v>
      </c>
      <c r="S103" s="6">
        <v>1</v>
      </c>
      <c r="U103" s="6" t="s">
        <v>224</v>
      </c>
      <c r="V103" s="6">
        <v>3</v>
      </c>
      <c r="W103" s="6" t="s">
        <v>225</v>
      </c>
      <c r="X103" s="5" t="s">
        <v>685</v>
      </c>
      <c r="AC103" s="6" t="s">
        <v>290</v>
      </c>
      <c r="AD103" s="6" t="s">
        <v>291</v>
      </c>
      <c r="AE103" s="6" t="s">
        <v>305</v>
      </c>
      <c r="AF103" s="6" t="s">
        <v>306</v>
      </c>
      <c r="AG103" s="6" t="s">
        <v>294</v>
      </c>
      <c r="AH103" s="6">
        <v>0</v>
      </c>
      <c r="AI103" s="6" t="s">
        <v>214</v>
      </c>
      <c r="AJ103" s="6" t="s">
        <v>295</v>
      </c>
    </row>
    <row r="104" spans="1:36" ht="30.75">
      <c r="A104" s="6" t="s">
        <v>109</v>
      </c>
      <c r="B104" s="251" t="s">
        <v>1161</v>
      </c>
      <c r="C104" s="5" t="s">
        <v>308</v>
      </c>
      <c r="E104" s="6" t="s">
        <v>1172</v>
      </c>
      <c r="F104" s="6" t="s">
        <v>286</v>
      </c>
      <c r="G104" s="6" t="s">
        <v>654</v>
      </c>
      <c r="H104" s="16" t="s">
        <v>287</v>
      </c>
      <c r="I104" s="6" t="s">
        <v>288</v>
      </c>
      <c r="K104" s="6" t="s">
        <v>215</v>
      </c>
      <c r="N104" s="6">
        <v>0</v>
      </c>
      <c r="S104" s="6">
        <v>1</v>
      </c>
      <c r="U104" s="6" t="s">
        <v>224</v>
      </c>
      <c r="V104" s="6">
        <v>3</v>
      </c>
      <c r="W104" s="6" t="s">
        <v>225</v>
      </c>
      <c r="X104" s="5" t="s">
        <v>687</v>
      </c>
      <c r="AC104" s="6" t="s">
        <v>290</v>
      </c>
      <c r="AD104" s="6" t="s">
        <v>291</v>
      </c>
      <c r="AE104" s="6" t="s">
        <v>310</v>
      </c>
      <c r="AF104" s="6" t="s">
        <v>311</v>
      </c>
      <c r="AG104" s="6" t="s">
        <v>294</v>
      </c>
      <c r="AH104" s="6">
        <v>0</v>
      </c>
      <c r="AI104" s="6" t="s">
        <v>214</v>
      </c>
      <c r="AJ104" s="6" t="s">
        <v>295</v>
      </c>
    </row>
    <row r="105" spans="1:36" ht="60.75">
      <c r="A105" s="6" t="s">
        <v>110</v>
      </c>
      <c r="B105" s="251" t="s">
        <v>1090</v>
      </c>
      <c r="C105" s="5" t="s">
        <v>689</v>
      </c>
      <c r="E105" s="6" t="s">
        <v>1173</v>
      </c>
      <c r="F105" s="6" t="s">
        <v>315</v>
      </c>
      <c r="G105" s="6" t="s">
        <v>654</v>
      </c>
      <c r="H105" s="6" t="s">
        <v>316</v>
      </c>
      <c r="I105" s="6" t="s">
        <v>317</v>
      </c>
      <c r="L105" s="6" t="s">
        <v>318</v>
      </c>
      <c r="M105" s="14" t="s">
        <v>446</v>
      </c>
      <c r="N105" s="6">
        <v>0</v>
      </c>
      <c r="S105" s="6">
        <v>1</v>
      </c>
      <c r="U105" s="6" t="s">
        <v>224</v>
      </c>
      <c r="W105" s="6" t="s">
        <v>320</v>
      </c>
      <c r="X105" s="5" t="s">
        <v>690</v>
      </c>
      <c r="Y105" s="6" t="s">
        <v>332</v>
      </c>
    </row>
    <row r="106" spans="1:36" ht="45.75">
      <c r="A106" s="6" t="s">
        <v>111</v>
      </c>
      <c r="B106" s="251" t="s">
        <v>1090</v>
      </c>
      <c r="C106" s="5" t="s">
        <v>692</v>
      </c>
      <c r="E106" s="6" t="s">
        <v>1174</v>
      </c>
      <c r="F106" s="6" t="s">
        <v>315</v>
      </c>
      <c r="G106" s="6" t="s">
        <v>654</v>
      </c>
      <c r="H106" s="6" t="s">
        <v>316</v>
      </c>
      <c r="I106" s="6" t="s">
        <v>317</v>
      </c>
      <c r="L106" s="6" t="s">
        <v>318</v>
      </c>
      <c r="M106" s="14" t="s">
        <v>450</v>
      </c>
      <c r="N106" s="6">
        <v>0</v>
      </c>
      <c r="S106" s="6">
        <v>1</v>
      </c>
      <c r="U106" s="6" t="s">
        <v>224</v>
      </c>
      <c r="W106" s="6" t="s">
        <v>320</v>
      </c>
      <c r="X106" s="5" t="s">
        <v>693</v>
      </c>
      <c r="Y106" s="6" t="s">
        <v>332</v>
      </c>
    </row>
    <row r="107" spans="1:36" ht="60.75">
      <c r="A107" s="6" t="s">
        <v>112</v>
      </c>
      <c r="B107" s="251" t="s">
        <v>1090</v>
      </c>
      <c r="C107" s="5" t="s">
        <v>695</v>
      </c>
      <c r="E107" s="6" t="s">
        <v>1175</v>
      </c>
      <c r="F107" s="6" t="s">
        <v>315</v>
      </c>
      <c r="G107" s="6" t="s">
        <v>654</v>
      </c>
      <c r="H107" s="6" t="s">
        <v>316</v>
      </c>
      <c r="I107" s="6" t="s">
        <v>317</v>
      </c>
      <c r="L107" s="6" t="s">
        <v>318</v>
      </c>
      <c r="M107" s="14" t="s">
        <v>319</v>
      </c>
      <c r="N107" s="6">
        <v>0</v>
      </c>
      <c r="S107" s="6">
        <v>1</v>
      </c>
      <c r="U107" s="6" t="s">
        <v>224</v>
      </c>
      <c r="W107" s="6" t="s">
        <v>320</v>
      </c>
      <c r="X107" s="5" t="s">
        <v>696</v>
      </c>
      <c r="Y107" s="6" t="s">
        <v>455</v>
      </c>
    </row>
    <row r="108" spans="1:36" ht="60.75">
      <c r="A108" s="6" t="s">
        <v>113</v>
      </c>
      <c r="B108" s="251" t="s">
        <v>1090</v>
      </c>
      <c r="C108" s="5" t="s">
        <v>698</v>
      </c>
      <c r="E108" s="6" t="s">
        <v>1176</v>
      </c>
      <c r="F108" s="6" t="s">
        <v>315</v>
      </c>
      <c r="G108" s="6" t="s">
        <v>654</v>
      </c>
      <c r="H108" s="6" t="s">
        <v>316</v>
      </c>
      <c r="I108" s="6" t="s">
        <v>317</v>
      </c>
      <c r="L108" s="6" t="s">
        <v>329</v>
      </c>
      <c r="M108" s="14" t="s">
        <v>459</v>
      </c>
      <c r="N108" s="6">
        <v>0</v>
      </c>
      <c r="S108" s="6">
        <v>1</v>
      </c>
      <c r="U108" s="6" t="s">
        <v>224</v>
      </c>
      <c r="W108" s="6" t="s">
        <v>320</v>
      </c>
      <c r="X108" s="5" t="s">
        <v>699</v>
      </c>
      <c r="Y108" s="6" t="s">
        <v>332</v>
      </c>
    </row>
    <row r="109" spans="1:36" ht="45.75">
      <c r="A109" s="6" t="s">
        <v>114</v>
      </c>
      <c r="B109" s="251" t="s">
        <v>1090</v>
      </c>
      <c r="C109" s="5" t="s">
        <v>701</v>
      </c>
      <c r="E109" s="6" t="s">
        <v>1177</v>
      </c>
      <c r="F109" s="6" t="s">
        <v>315</v>
      </c>
      <c r="G109" s="6" t="s">
        <v>654</v>
      </c>
      <c r="H109" s="6" t="s">
        <v>316</v>
      </c>
      <c r="I109" s="6" t="s">
        <v>317</v>
      </c>
      <c r="L109" s="6" t="s">
        <v>329</v>
      </c>
      <c r="M109" s="14" t="s">
        <v>464</v>
      </c>
      <c r="N109" s="6">
        <v>0</v>
      </c>
      <c r="S109" s="6">
        <v>1</v>
      </c>
      <c r="U109" s="6" t="s">
        <v>224</v>
      </c>
      <c r="W109" s="6" t="s">
        <v>320</v>
      </c>
      <c r="X109" s="5" t="s">
        <v>702</v>
      </c>
      <c r="Y109" s="6" t="s">
        <v>332</v>
      </c>
    </row>
    <row r="110" spans="1:36" ht="45.75">
      <c r="A110" s="6" t="s">
        <v>115</v>
      </c>
      <c r="B110" s="251" t="s">
        <v>163</v>
      </c>
      <c r="C110" s="5" t="s">
        <v>704</v>
      </c>
      <c r="E110" s="6" t="s">
        <v>1178</v>
      </c>
      <c r="F110" s="6" t="s">
        <v>219</v>
      </c>
      <c r="G110" s="6" t="s">
        <v>654</v>
      </c>
      <c r="H110" s="6" t="s">
        <v>214</v>
      </c>
      <c r="I110" s="6" t="s">
        <v>221</v>
      </c>
      <c r="J110" s="6" t="s">
        <v>324</v>
      </c>
      <c r="K110" s="6" t="s">
        <v>215</v>
      </c>
      <c r="M110" s="14"/>
      <c r="N110" s="6">
        <v>0</v>
      </c>
      <c r="S110" s="6">
        <v>1</v>
      </c>
      <c r="T110" s="6" t="s">
        <v>223</v>
      </c>
      <c r="U110" s="6" t="s">
        <v>224</v>
      </c>
      <c r="V110" s="6">
        <v>3</v>
      </c>
      <c r="W110" s="6" t="s">
        <v>225</v>
      </c>
      <c r="X110" s="5" t="s">
        <v>705</v>
      </c>
      <c r="AA110" s="6" t="s">
        <v>227</v>
      </c>
      <c r="AB110" s="6" t="s">
        <v>228</v>
      </c>
    </row>
    <row r="111" spans="1:36" ht="30.75">
      <c r="A111" s="6" t="s">
        <v>116</v>
      </c>
      <c r="B111" s="251" t="s">
        <v>1122</v>
      </c>
      <c r="C111" s="5" t="s">
        <v>472</v>
      </c>
      <c r="E111" s="6" t="s">
        <v>1179</v>
      </c>
      <c r="F111" s="6" t="s">
        <v>315</v>
      </c>
      <c r="G111" s="6" t="s">
        <v>654</v>
      </c>
      <c r="H111" s="6" t="s">
        <v>316</v>
      </c>
      <c r="I111" s="6" t="s">
        <v>317</v>
      </c>
      <c r="L111" s="6" t="s">
        <v>329</v>
      </c>
      <c r="M111" s="14" t="s">
        <v>473</v>
      </c>
      <c r="N111" s="6">
        <v>0</v>
      </c>
      <c r="S111" s="6">
        <v>1</v>
      </c>
      <c r="U111" s="6" t="s">
        <v>224</v>
      </c>
      <c r="W111" s="6" t="s">
        <v>320</v>
      </c>
      <c r="X111" s="5" t="s">
        <v>707</v>
      </c>
      <c r="Y111" s="6" t="s">
        <v>332</v>
      </c>
    </row>
    <row r="112" spans="1:36" ht="30.75">
      <c r="A112" s="6" t="s">
        <v>117</v>
      </c>
      <c r="B112" s="251" t="s">
        <v>1124</v>
      </c>
      <c r="C112" s="5" t="s">
        <v>477</v>
      </c>
      <c r="E112" s="6" t="s">
        <v>1180</v>
      </c>
      <c r="F112" s="6" t="s">
        <v>315</v>
      </c>
      <c r="G112" s="6" t="s">
        <v>654</v>
      </c>
      <c r="H112" s="6" t="s">
        <v>316</v>
      </c>
      <c r="I112" s="6" t="s">
        <v>317</v>
      </c>
      <c r="L112" s="6" t="s">
        <v>329</v>
      </c>
      <c r="M112" s="14" t="s">
        <v>478</v>
      </c>
      <c r="N112" s="6">
        <v>0</v>
      </c>
      <c r="S112" s="6">
        <v>1</v>
      </c>
      <c r="U112" s="6" t="s">
        <v>224</v>
      </c>
      <c r="W112" s="6" t="s">
        <v>320</v>
      </c>
      <c r="X112" s="5" t="s">
        <v>709</v>
      </c>
      <c r="Y112" s="6" t="s">
        <v>332</v>
      </c>
    </row>
    <row r="113" spans="1:28" ht="30.75">
      <c r="A113" s="6" t="s">
        <v>118</v>
      </c>
      <c r="B113" s="251" t="s">
        <v>1126</v>
      </c>
      <c r="C113" s="5" t="s">
        <v>481</v>
      </c>
      <c r="E113" s="6" t="s">
        <v>1181</v>
      </c>
      <c r="F113" s="6" t="s">
        <v>315</v>
      </c>
      <c r="G113" s="6" t="s">
        <v>654</v>
      </c>
      <c r="H113" s="6" t="s">
        <v>316</v>
      </c>
      <c r="I113" s="6" t="s">
        <v>317</v>
      </c>
      <c r="L113" s="6" t="s">
        <v>329</v>
      </c>
      <c r="M113" s="14" t="s">
        <v>482</v>
      </c>
      <c r="N113" s="6">
        <v>0</v>
      </c>
      <c r="S113" s="6">
        <v>1</v>
      </c>
      <c r="U113" s="6" t="s">
        <v>224</v>
      </c>
      <c r="W113" s="6" t="s">
        <v>320</v>
      </c>
      <c r="X113" s="5" t="s">
        <v>711</v>
      </c>
      <c r="Y113" s="6" t="s">
        <v>332</v>
      </c>
    </row>
    <row r="114" spans="1:28" ht="30.75">
      <c r="A114" s="6" t="s">
        <v>119</v>
      </c>
      <c r="B114" s="255" t="s">
        <v>713</v>
      </c>
      <c r="C114" s="22" t="s">
        <v>490</v>
      </c>
      <c r="E114" s="6" t="s">
        <v>751</v>
      </c>
      <c r="F114" s="6" t="s">
        <v>219</v>
      </c>
      <c r="G114" s="6" t="s">
        <v>654</v>
      </c>
      <c r="H114" s="6" t="s">
        <v>214</v>
      </c>
      <c r="I114" s="6" t="s">
        <v>221</v>
      </c>
      <c r="J114" s="6" t="s">
        <v>491</v>
      </c>
      <c r="K114" s="6" t="s">
        <v>492</v>
      </c>
      <c r="N114" s="6">
        <v>0</v>
      </c>
      <c r="S114" s="6">
        <v>1</v>
      </c>
      <c r="U114" s="6" t="s">
        <v>224</v>
      </c>
      <c r="W114" s="6" t="s">
        <v>320</v>
      </c>
      <c r="X114" s="5" t="s">
        <v>493</v>
      </c>
      <c r="AA114" s="6" t="s">
        <v>227</v>
      </c>
      <c r="AB114" s="6" t="s">
        <v>228</v>
      </c>
    </row>
    <row r="115" spans="1:28" ht="30.75">
      <c r="A115" s="6" t="s">
        <v>120</v>
      </c>
      <c r="B115" s="251" t="s">
        <v>500</v>
      </c>
      <c r="C115" s="5" t="s">
        <v>501</v>
      </c>
      <c r="E115" s="6" t="s">
        <v>756</v>
      </c>
      <c r="F115" s="6" t="s">
        <v>219</v>
      </c>
      <c r="G115" s="6" t="s">
        <v>654</v>
      </c>
      <c r="H115" s="6" t="s">
        <v>214</v>
      </c>
      <c r="I115" s="6" t="s">
        <v>221</v>
      </c>
      <c r="J115" s="6" t="s">
        <v>502</v>
      </c>
      <c r="K115" s="6" t="s">
        <v>215</v>
      </c>
      <c r="N115" s="6">
        <v>0</v>
      </c>
      <c r="S115" s="6">
        <v>1</v>
      </c>
      <c r="U115" s="6" t="s">
        <v>224</v>
      </c>
      <c r="W115" s="6" t="s">
        <v>320</v>
      </c>
      <c r="X115" s="5" t="s">
        <v>503</v>
      </c>
      <c r="AA115" s="6" t="s">
        <v>227</v>
      </c>
      <c r="AB115" s="6" t="s">
        <v>228</v>
      </c>
    </row>
    <row r="116" spans="1:28" s="11" customFormat="1" ht="30.75">
      <c r="A116" s="11" t="s">
        <v>121</v>
      </c>
      <c r="B116" s="250" t="s">
        <v>1090</v>
      </c>
      <c r="C116" s="10" t="s">
        <v>508</v>
      </c>
      <c r="D116" s="10"/>
      <c r="E116" s="11" t="s">
        <v>761</v>
      </c>
      <c r="F116" s="11" t="s">
        <v>315</v>
      </c>
      <c r="G116" s="11" t="s">
        <v>654</v>
      </c>
      <c r="H116" s="11" t="s">
        <v>316</v>
      </c>
      <c r="I116" s="11" t="s">
        <v>317</v>
      </c>
      <c r="L116" s="11" t="s">
        <v>329</v>
      </c>
      <c r="M116" s="14" t="s">
        <v>509</v>
      </c>
      <c r="N116" s="11">
        <v>0</v>
      </c>
      <c r="S116" s="11">
        <v>1</v>
      </c>
      <c r="U116" s="11" t="s">
        <v>224</v>
      </c>
      <c r="W116" s="11" t="s">
        <v>320</v>
      </c>
      <c r="X116" s="10" t="s">
        <v>716</v>
      </c>
      <c r="Y116" s="11" t="s">
        <v>332</v>
      </c>
    </row>
    <row r="117" spans="1:28" s="30" customFormat="1" ht="45.75">
      <c r="A117" s="30" t="s">
        <v>122</v>
      </c>
      <c r="B117" s="256" t="s">
        <v>1090</v>
      </c>
      <c r="C117" s="31" t="s">
        <v>718</v>
      </c>
      <c r="D117" s="31"/>
      <c r="E117" s="30" t="s">
        <v>1182</v>
      </c>
      <c r="F117" s="30" t="s">
        <v>315</v>
      </c>
      <c r="G117" s="30" t="s">
        <v>654</v>
      </c>
      <c r="H117" s="30" t="s">
        <v>316</v>
      </c>
      <c r="I117" s="30" t="s">
        <v>317</v>
      </c>
      <c r="L117" s="30" t="s">
        <v>329</v>
      </c>
      <c r="M117" s="19" t="s">
        <v>519</v>
      </c>
      <c r="N117" s="30">
        <v>0</v>
      </c>
      <c r="S117" s="30">
        <v>1</v>
      </c>
      <c r="U117" s="30" t="s">
        <v>224</v>
      </c>
      <c r="W117" s="30" t="s">
        <v>320</v>
      </c>
      <c r="X117" s="31" t="s">
        <v>719</v>
      </c>
      <c r="Y117" s="30" t="s">
        <v>332</v>
      </c>
    </row>
    <row r="118" spans="1:28" ht="30.75">
      <c r="A118" s="6" t="s">
        <v>1183</v>
      </c>
      <c r="B118" s="251" t="s">
        <v>163</v>
      </c>
      <c r="C118" s="5" t="s">
        <v>721</v>
      </c>
      <c r="F118" s="6" t="s">
        <v>213</v>
      </c>
      <c r="H118" s="6" t="s">
        <v>214</v>
      </c>
      <c r="K118" s="6" t="s">
        <v>215</v>
      </c>
      <c r="N118" s="6">
        <v>1</v>
      </c>
      <c r="O118" s="6" t="s">
        <v>1184</v>
      </c>
      <c r="P118" s="8">
        <v>0.375</v>
      </c>
      <c r="S118" s="6">
        <v>1</v>
      </c>
      <c r="V118" s="6">
        <v>3</v>
      </c>
    </row>
    <row r="119" spans="1:28" s="11" customFormat="1" ht="30.75">
      <c r="A119" s="11" t="s">
        <v>123</v>
      </c>
      <c r="B119" s="250" t="s">
        <v>1090</v>
      </c>
      <c r="C119" s="10" t="s">
        <v>723</v>
      </c>
      <c r="D119" s="10"/>
      <c r="F119" s="11" t="s">
        <v>315</v>
      </c>
      <c r="H119" s="11" t="s">
        <v>316</v>
      </c>
      <c r="I119" s="11" t="s">
        <v>371</v>
      </c>
      <c r="L119" s="11" t="s">
        <v>329</v>
      </c>
      <c r="M119" s="14" t="s">
        <v>724</v>
      </c>
      <c r="N119" s="11">
        <v>1</v>
      </c>
      <c r="P119" s="29">
        <v>0.72916666666666663</v>
      </c>
      <c r="Q119" s="11" t="s">
        <v>725</v>
      </c>
      <c r="S119" s="11">
        <v>1</v>
      </c>
      <c r="U119" s="11" t="s">
        <v>224</v>
      </c>
      <c r="W119" s="11" t="s">
        <v>320</v>
      </c>
      <c r="X119" s="10" t="s">
        <v>726</v>
      </c>
      <c r="Y119" s="11" t="s">
        <v>332</v>
      </c>
    </row>
    <row r="120" spans="1:28" s="11" customFormat="1" ht="30.75">
      <c r="A120" s="11" t="s">
        <v>124</v>
      </c>
      <c r="B120" s="250" t="s">
        <v>1090</v>
      </c>
      <c r="C120" s="10" t="s">
        <v>728</v>
      </c>
      <c r="D120" s="10"/>
      <c r="E120" s="11" t="s">
        <v>1185</v>
      </c>
      <c r="F120" s="11" t="s">
        <v>315</v>
      </c>
      <c r="H120" s="11" t="s">
        <v>316</v>
      </c>
      <c r="I120" s="11" t="s">
        <v>371</v>
      </c>
      <c r="L120" s="11" t="s">
        <v>329</v>
      </c>
      <c r="M120" s="14" t="s">
        <v>729</v>
      </c>
      <c r="N120" s="11">
        <v>1</v>
      </c>
      <c r="P120" s="29">
        <v>0.75</v>
      </c>
      <c r="Q120" s="11" t="s">
        <v>725</v>
      </c>
      <c r="S120" s="11">
        <v>1</v>
      </c>
      <c r="U120" s="11" t="s">
        <v>224</v>
      </c>
      <c r="W120" s="11" t="s">
        <v>320</v>
      </c>
      <c r="X120" s="10" t="s">
        <v>730</v>
      </c>
      <c r="Y120" s="11" t="s">
        <v>332</v>
      </c>
    </row>
    <row r="121" spans="1:28" s="11" customFormat="1" ht="30.75">
      <c r="A121" s="11" t="s">
        <v>125</v>
      </c>
      <c r="B121" s="250" t="s">
        <v>732</v>
      </c>
      <c r="C121" s="10" t="s">
        <v>733</v>
      </c>
      <c r="D121" s="10"/>
      <c r="E121" s="11" t="s">
        <v>1185</v>
      </c>
      <c r="F121" s="11" t="s">
        <v>219</v>
      </c>
      <c r="H121" s="11" t="s">
        <v>214</v>
      </c>
      <c r="I121" s="11" t="s">
        <v>734</v>
      </c>
      <c r="J121" s="11" t="s">
        <v>735</v>
      </c>
      <c r="K121" s="11" t="s">
        <v>215</v>
      </c>
      <c r="M121" s="14"/>
      <c r="N121" s="11">
        <v>1</v>
      </c>
      <c r="P121" s="29">
        <v>0.77083333333333337</v>
      </c>
      <c r="Q121" s="11" t="s">
        <v>725</v>
      </c>
      <c r="S121" s="11">
        <v>1</v>
      </c>
      <c r="U121" s="11" t="s">
        <v>224</v>
      </c>
      <c r="W121" s="11" t="s">
        <v>320</v>
      </c>
      <c r="X121" s="10" t="s">
        <v>736</v>
      </c>
    </row>
    <row r="122" spans="1:28" s="11" customFormat="1" ht="30.75">
      <c r="A122" s="11" t="s">
        <v>126</v>
      </c>
      <c r="B122" s="250" t="s">
        <v>1090</v>
      </c>
      <c r="C122" s="10" t="s">
        <v>738</v>
      </c>
      <c r="D122" s="10"/>
      <c r="E122" s="11" t="s">
        <v>1186</v>
      </c>
      <c r="F122" s="11" t="s">
        <v>315</v>
      </c>
      <c r="H122" s="11" t="s">
        <v>316</v>
      </c>
      <c r="I122" s="11" t="s">
        <v>371</v>
      </c>
      <c r="L122" s="11" t="s">
        <v>329</v>
      </c>
      <c r="M122" s="14" t="s">
        <v>739</v>
      </c>
      <c r="N122" s="11">
        <v>1</v>
      </c>
      <c r="P122" s="29">
        <v>0.83333333333333337</v>
      </c>
      <c r="Q122" s="11" t="s">
        <v>725</v>
      </c>
      <c r="S122" s="11">
        <v>1</v>
      </c>
      <c r="U122" s="11" t="s">
        <v>224</v>
      </c>
      <c r="W122" s="11" t="s">
        <v>225</v>
      </c>
      <c r="X122" s="10" t="s">
        <v>740</v>
      </c>
      <c r="Y122" s="11" t="s">
        <v>332</v>
      </c>
    </row>
    <row r="123" spans="1:28" ht="30.75">
      <c r="A123" s="6" t="s">
        <v>127</v>
      </c>
      <c r="B123" s="251" t="s">
        <v>163</v>
      </c>
      <c r="C123" s="5" t="s">
        <v>742</v>
      </c>
      <c r="F123" s="6" t="s">
        <v>219</v>
      </c>
      <c r="H123" s="6" t="s">
        <v>214</v>
      </c>
      <c r="I123" s="6" t="s">
        <v>221</v>
      </c>
      <c r="J123" s="6" t="s">
        <v>743</v>
      </c>
      <c r="K123" s="6" t="s">
        <v>215</v>
      </c>
      <c r="N123" s="6">
        <v>0</v>
      </c>
      <c r="S123" s="6">
        <v>1</v>
      </c>
      <c r="T123" s="6" t="s">
        <v>223</v>
      </c>
      <c r="U123" s="6" t="s">
        <v>224</v>
      </c>
      <c r="V123" s="6">
        <v>3</v>
      </c>
      <c r="W123" s="6" t="s">
        <v>225</v>
      </c>
      <c r="X123" s="5" t="s">
        <v>744</v>
      </c>
      <c r="AA123" s="6" t="s">
        <v>227</v>
      </c>
      <c r="AB123" s="6" t="s">
        <v>228</v>
      </c>
    </row>
    <row r="124" spans="1:28" ht="30.75">
      <c r="A124" s="6" t="s">
        <v>128</v>
      </c>
      <c r="B124" s="251" t="s">
        <v>163</v>
      </c>
      <c r="C124" s="5" t="s">
        <v>746</v>
      </c>
      <c r="F124" s="6" t="s">
        <v>219</v>
      </c>
      <c r="H124" s="6" t="s">
        <v>214</v>
      </c>
      <c r="I124" s="6" t="s">
        <v>747</v>
      </c>
      <c r="J124" s="6" t="s">
        <v>743</v>
      </c>
      <c r="K124" s="6" t="s">
        <v>215</v>
      </c>
      <c r="N124" s="6">
        <v>0</v>
      </c>
      <c r="S124" s="6">
        <v>1</v>
      </c>
      <c r="T124" s="6" t="s">
        <v>223</v>
      </c>
      <c r="U124" s="6" t="s">
        <v>224</v>
      </c>
      <c r="V124" s="6">
        <v>3</v>
      </c>
      <c r="W124" s="6" t="s">
        <v>225</v>
      </c>
      <c r="X124" s="5" t="s">
        <v>748</v>
      </c>
      <c r="AA124" s="6" t="s">
        <v>749</v>
      </c>
      <c r="AB124" s="6" t="s">
        <v>750</v>
      </c>
    </row>
    <row r="125" spans="1:28" s="32" customFormat="1" ht="30.75">
      <c r="A125" s="32" t="s">
        <v>131</v>
      </c>
      <c r="B125" s="257" t="s">
        <v>1187</v>
      </c>
      <c r="C125" s="33" t="s">
        <v>752</v>
      </c>
      <c r="D125" s="33"/>
      <c r="F125" s="32" t="s">
        <v>315</v>
      </c>
      <c r="H125" s="32" t="s">
        <v>316</v>
      </c>
      <c r="I125" s="32" t="s">
        <v>371</v>
      </c>
      <c r="L125" s="32" t="s">
        <v>329</v>
      </c>
      <c r="M125" s="14" t="s">
        <v>753</v>
      </c>
      <c r="N125" s="32">
        <v>1</v>
      </c>
      <c r="P125" s="34">
        <v>0.70833333333333337</v>
      </c>
      <c r="Q125" s="32" t="s">
        <v>754</v>
      </c>
      <c r="S125" s="32">
        <v>1</v>
      </c>
      <c r="U125" s="32" t="s">
        <v>224</v>
      </c>
      <c r="W125" s="32" t="s">
        <v>320</v>
      </c>
      <c r="X125" s="33" t="s">
        <v>755</v>
      </c>
      <c r="Y125" s="32" t="s">
        <v>332</v>
      </c>
    </row>
    <row r="126" spans="1:28" s="32" customFormat="1" ht="45.75">
      <c r="A126" s="32" t="s">
        <v>132</v>
      </c>
      <c r="B126" s="257" t="s">
        <v>644</v>
      </c>
      <c r="C126" s="33" t="s">
        <v>757</v>
      </c>
      <c r="D126" s="33"/>
      <c r="F126" s="32" t="s">
        <v>315</v>
      </c>
      <c r="H126" s="32" t="s">
        <v>316</v>
      </c>
      <c r="I126" s="32" t="s">
        <v>371</v>
      </c>
      <c r="L126" s="32" t="s">
        <v>329</v>
      </c>
      <c r="M126" s="13" t="s">
        <v>758</v>
      </c>
      <c r="N126" s="32">
        <v>1</v>
      </c>
      <c r="P126" s="34">
        <v>0.70833333333333337</v>
      </c>
      <c r="Q126" s="32" t="s">
        <v>759</v>
      </c>
      <c r="S126" s="32">
        <v>1</v>
      </c>
      <c r="U126" s="32" t="s">
        <v>224</v>
      </c>
      <c r="W126" s="32" t="s">
        <v>320</v>
      </c>
      <c r="X126" s="33" t="s">
        <v>760</v>
      </c>
      <c r="Y126" s="32" t="s">
        <v>332</v>
      </c>
    </row>
    <row r="127" spans="1:28" s="32" customFormat="1" ht="45.75">
      <c r="A127" s="32" t="s">
        <v>133</v>
      </c>
      <c r="B127" s="257" t="s">
        <v>1090</v>
      </c>
      <c r="C127" s="33" t="s">
        <v>762</v>
      </c>
      <c r="D127" s="33"/>
      <c r="F127" s="32" t="s">
        <v>315</v>
      </c>
      <c r="H127" s="32" t="s">
        <v>316</v>
      </c>
      <c r="I127" s="32" t="s">
        <v>371</v>
      </c>
      <c r="L127" s="32" t="s">
        <v>329</v>
      </c>
      <c r="M127" s="14" t="s">
        <v>763</v>
      </c>
      <c r="N127" s="32">
        <v>1</v>
      </c>
      <c r="P127" s="34">
        <v>0.70833333333333337</v>
      </c>
      <c r="Q127" s="32" t="s">
        <v>764</v>
      </c>
      <c r="S127" s="32">
        <v>1</v>
      </c>
      <c r="U127" s="32" t="s">
        <v>224</v>
      </c>
      <c r="W127" s="32" t="s">
        <v>320</v>
      </c>
      <c r="X127" s="33" t="s">
        <v>765</v>
      </c>
      <c r="Y127" s="32" t="s">
        <v>332</v>
      </c>
    </row>
    <row r="128" spans="1:28" s="32" customFormat="1" ht="30.75">
      <c r="A128" s="32" t="s">
        <v>134</v>
      </c>
      <c r="B128" s="257" t="s">
        <v>1188</v>
      </c>
      <c r="C128" s="33" t="s">
        <v>767</v>
      </c>
      <c r="D128" s="33"/>
      <c r="F128" s="32" t="s">
        <v>315</v>
      </c>
      <c r="H128" s="32" t="s">
        <v>316</v>
      </c>
      <c r="I128" s="32" t="s">
        <v>371</v>
      </c>
      <c r="L128" s="32" t="s">
        <v>329</v>
      </c>
      <c r="M128" s="14" t="s">
        <v>768</v>
      </c>
      <c r="N128" s="32">
        <v>1</v>
      </c>
      <c r="P128" s="34">
        <v>0.70833333333333337</v>
      </c>
      <c r="Q128" s="32" t="s">
        <v>769</v>
      </c>
      <c r="S128" s="32">
        <v>1</v>
      </c>
      <c r="U128" s="32" t="s">
        <v>224</v>
      </c>
      <c r="W128" s="32" t="s">
        <v>320</v>
      </c>
      <c r="X128" s="33" t="s">
        <v>770</v>
      </c>
      <c r="Y128" s="32" t="s">
        <v>332</v>
      </c>
    </row>
    <row r="129" spans="1:39" s="32" customFormat="1" ht="76.5">
      <c r="A129" s="32" t="s">
        <v>135</v>
      </c>
      <c r="B129" s="257" t="s">
        <v>1090</v>
      </c>
      <c r="C129" s="33" t="s">
        <v>773</v>
      </c>
      <c r="D129" s="33"/>
      <c r="F129" s="32" t="s">
        <v>315</v>
      </c>
      <c r="H129" s="32" t="s">
        <v>316</v>
      </c>
      <c r="I129" s="32" t="s">
        <v>371</v>
      </c>
      <c r="L129" s="32" t="s">
        <v>329</v>
      </c>
      <c r="M129" s="33" t="s">
        <v>774</v>
      </c>
      <c r="N129" s="32">
        <v>1</v>
      </c>
      <c r="P129" s="34">
        <v>0.70833333333333337</v>
      </c>
      <c r="Q129" s="32" t="s">
        <v>769</v>
      </c>
      <c r="S129" s="32">
        <v>1</v>
      </c>
      <c r="U129" s="32" t="s">
        <v>224</v>
      </c>
      <c r="W129" s="32" t="s">
        <v>320</v>
      </c>
      <c r="X129" s="33" t="s">
        <v>775</v>
      </c>
      <c r="Y129" s="32" t="s">
        <v>332</v>
      </c>
    </row>
    <row r="130" spans="1:39">
      <c r="A130" s="6" t="s">
        <v>136</v>
      </c>
      <c r="B130" s="251" t="s">
        <v>779</v>
      </c>
      <c r="C130" s="5" t="s">
        <v>780</v>
      </c>
      <c r="F130" s="6" t="s">
        <v>219</v>
      </c>
      <c r="H130" s="6" t="s">
        <v>214</v>
      </c>
      <c r="I130" s="6" t="s">
        <v>221</v>
      </c>
      <c r="J130" s="6" t="s">
        <v>781</v>
      </c>
      <c r="K130" s="6" t="s">
        <v>215</v>
      </c>
      <c r="N130" s="6">
        <v>1</v>
      </c>
      <c r="O130" s="6" t="s">
        <v>1189</v>
      </c>
      <c r="P130" s="6" t="s">
        <v>782</v>
      </c>
      <c r="R130" s="6" t="s">
        <v>783</v>
      </c>
      <c r="S130" s="6">
        <v>1</v>
      </c>
      <c r="T130" s="6" t="s">
        <v>223</v>
      </c>
      <c r="U130" s="6" t="s">
        <v>224</v>
      </c>
      <c r="V130" s="6">
        <v>3</v>
      </c>
      <c r="W130" s="6" t="s">
        <v>225</v>
      </c>
      <c r="X130" s="5" t="s">
        <v>784</v>
      </c>
      <c r="Z130" s="6" t="s">
        <v>785</v>
      </c>
      <c r="AA130" s="6" t="s">
        <v>227</v>
      </c>
      <c r="AB130" s="6" t="s">
        <v>228</v>
      </c>
      <c r="AK130" s="6">
        <v>60</v>
      </c>
      <c r="AL130" s="6">
        <v>1</v>
      </c>
      <c r="AM130" s="6">
        <v>60</v>
      </c>
    </row>
    <row r="131" spans="1:39">
      <c r="A131" s="6" t="s">
        <v>137</v>
      </c>
      <c r="B131" s="251" t="s">
        <v>779</v>
      </c>
      <c r="C131" s="5" t="s">
        <v>787</v>
      </c>
      <c r="F131" s="6" t="s">
        <v>219</v>
      </c>
      <c r="H131" s="6" t="s">
        <v>214</v>
      </c>
      <c r="I131" s="6" t="s">
        <v>221</v>
      </c>
      <c r="J131" s="6" t="s">
        <v>781</v>
      </c>
      <c r="K131" s="6" t="s">
        <v>215</v>
      </c>
      <c r="N131" s="6">
        <v>1</v>
      </c>
      <c r="O131" s="6" t="s">
        <v>1189</v>
      </c>
      <c r="P131" s="6" t="s">
        <v>788</v>
      </c>
      <c r="S131" s="6">
        <v>1</v>
      </c>
      <c r="T131" s="6" t="s">
        <v>223</v>
      </c>
      <c r="U131" s="6" t="s">
        <v>224</v>
      </c>
      <c r="V131" s="6">
        <v>3</v>
      </c>
      <c r="W131" s="6" t="s">
        <v>225</v>
      </c>
      <c r="X131" s="5" t="s">
        <v>789</v>
      </c>
      <c r="Z131" s="6" t="s">
        <v>790</v>
      </c>
      <c r="AA131" s="6" t="s">
        <v>227</v>
      </c>
      <c r="AB131" s="6" t="s">
        <v>228</v>
      </c>
      <c r="AK131" s="6">
        <v>60</v>
      </c>
      <c r="AL131" s="6">
        <v>1</v>
      </c>
      <c r="AM131" s="6">
        <v>60</v>
      </c>
    </row>
    <row r="132" spans="1:39">
      <c r="A132" s="6" t="s">
        <v>138</v>
      </c>
      <c r="B132" s="251" t="s">
        <v>779</v>
      </c>
      <c r="C132" s="5" t="s">
        <v>793</v>
      </c>
      <c r="F132" s="6" t="s">
        <v>219</v>
      </c>
      <c r="H132" s="6" t="s">
        <v>214</v>
      </c>
      <c r="I132" s="6" t="s">
        <v>221</v>
      </c>
      <c r="J132" s="6" t="s">
        <v>781</v>
      </c>
      <c r="K132" s="6" t="s">
        <v>215</v>
      </c>
      <c r="N132" s="6">
        <v>1</v>
      </c>
      <c r="O132" s="6" t="s">
        <v>1190</v>
      </c>
      <c r="P132" s="6" t="s">
        <v>794</v>
      </c>
      <c r="S132" s="6">
        <v>1</v>
      </c>
      <c r="T132" s="6" t="s">
        <v>223</v>
      </c>
      <c r="U132" s="6" t="s">
        <v>224</v>
      </c>
      <c r="V132" s="6">
        <v>3</v>
      </c>
      <c r="W132" s="6" t="s">
        <v>225</v>
      </c>
      <c r="X132" s="5" t="s">
        <v>795</v>
      </c>
      <c r="Z132" s="6" t="s">
        <v>785</v>
      </c>
      <c r="AA132" s="6" t="s">
        <v>227</v>
      </c>
      <c r="AB132" s="6" t="s">
        <v>228</v>
      </c>
      <c r="AK132" s="6">
        <v>60</v>
      </c>
      <c r="AL132" s="6">
        <v>1</v>
      </c>
      <c r="AM132" s="6">
        <v>60</v>
      </c>
    </row>
    <row r="133" spans="1:39">
      <c r="A133" s="6" t="s">
        <v>139</v>
      </c>
      <c r="B133" s="251" t="s">
        <v>796</v>
      </c>
      <c r="C133" s="5" t="s">
        <v>797</v>
      </c>
      <c r="F133" s="6" t="s">
        <v>219</v>
      </c>
      <c r="H133" s="6" t="s">
        <v>214</v>
      </c>
      <c r="I133" s="6" t="s">
        <v>221</v>
      </c>
      <c r="J133" s="6" t="s">
        <v>798</v>
      </c>
      <c r="K133" s="6" t="s">
        <v>215</v>
      </c>
      <c r="M133" s="14"/>
      <c r="N133" s="6">
        <v>1</v>
      </c>
      <c r="O133" s="6" t="s">
        <v>1191</v>
      </c>
      <c r="P133" s="8">
        <v>0.75</v>
      </c>
      <c r="S133" s="6">
        <v>1</v>
      </c>
      <c r="T133" s="6" t="s">
        <v>223</v>
      </c>
      <c r="U133" s="6" t="s">
        <v>224</v>
      </c>
      <c r="V133" s="6">
        <v>3</v>
      </c>
      <c r="W133" s="6" t="s">
        <v>225</v>
      </c>
      <c r="X133" s="5" t="s">
        <v>799</v>
      </c>
      <c r="AA133" s="6" t="s">
        <v>227</v>
      </c>
      <c r="AB133" s="6" t="s">
        <v>228</v>
      </c>
    </row>
    <row r="134" spans="1:39">
      <c r="A134" s="6" t="s">
        <v>144</v>
      </c>
      <c r="B134" s="251" t="s">
        <v>163</v>
      </c>
      <c r="C134" s="5" t="s">
        <v>801</v>
      </c>
      <c r="F134" s="6" t="s">
        <v>219</v>
      </c>
      <c r="H134" s="6" t="s">
        <v>214</v>
      </c>
      <c r="I134" s="6" t="s">
        <v>221</v>
      </c>
      <c r="J134" s="6" t="s">
        <v>802</v>
      </c>
      <c r="K134" s="6" t="s">
        <v>215</v>
      </c>
      <c r="M134" s="14"/>
      <c r="N134" s="6">
        <v>1</v>
      </c>
      <c r="O134" s="6" t="s">
        <v>1139</v>
      </c>
      <c r="P134" s="8">
        <v>0.22916666666666666</v>
      </c>
      <c r="S134" s="6">
        <v>1</v>
      </c>
      <c r="T134" s="6" t="s">
        <v>223</v>
      </c>
      <c r="U134" s="6" t="s">
        <v>224</v>
      </c>
      <c r="V134" s="6">
        <v>3</v>
      </c>
      <c r="W134" s="6" t="s">
        <v>225</v>
      </c>
      <c r="X134" s="5" t="s">
        <v>803</v>
      </c>
      <c r="AA134" s="6" t="s">
        <v>227</v>
      </c>
      <c r="AB134" s="6" t="s">
        <v>228</v>
      </c>
    </row>
    <row r="135" spans="1:39">
      <c r="A135" s="6" t="s">
        <v>145</v>
      </c>
      <c r="B135" s="251" t="s">
        <v>804</v>
      </c>
      <c r="C135" s="5" t="s">
        <v>805</v>
      </c>
      <c r="E135" s="6" t="s">
        <v>1192</v>
      </c>
      <c r="F135" s="6" t="s">
        <v>219</v>
      </c>
      <c r="H135" s="6" t="s">
        <v>569</v>
      </c>
      <c r="I135" s="6" t="s">
        <v>221</v>
      </c>
      <c r="J135" s="6" t="s">
        <v>806</v>
      </c>
      <c r="K135" s="6" t="s">
        <v>215</v>
      </c>
      <c r="M135" s="14"/>
      <c r="N135" s="6">
        <v>1</v>
      </c>
      <c r="O135" s="6" t="s">
        <v>1193</v>
      </c>
      <c r="P135" s="8">
        <v>3.472222222222222E-3</v>
      </c>
      <c r="S135" s="6">
        <v>1</v>
      </c>
      <c r="T135" s="6" t="s">
        <v>223</v>
      </c>
      <c r="U135" s="6" t="s">
        <v>224</v>
      </c>
      <c r="V135" s="6">
        <v>3</v>
      </c>
      <c r="W135" s="6" t="s">
        <v>225</v>
      </c>
      <c r="X135" s="5" t="s">
        <v>807</v>
      </c>
      <c r="AA135" s="6" t="s">
        <v>227</v>
      </c>
      <c r="AB135" s="6" t="s">
        <v>228</v>
      </c>
    </row>
    <row r="136" spans="1:39" ht="30.75">
      <c r="A136" s="6" t="s">
        <v>146</v>
      </c>
      <c r="B136" s="251" t="s">
        <v>1090</v>
      </c>
      <c r="C136" s="5" t="s">
        <v>809</v>
      </c>
      <c r="F136" s="6" t="s">
        <v>315</v>
      </c>
      <c r="H136" s="6" t="s">
        <v>316</v>
      </c>
      <c r="I136" s="6" t="s">
        <v>371</v>
      </c>
      <c r="L136" s="6" t="s">
        <v>329</v>
      </c>
      <c r="M136" s="14" t="s">
        <v>810</v>
      </c>
      <c r="N136" s="6">
        <v>1</v>
      </c>
      <c r="O136" s="6" t="s">
        <v>1194</v>
      </c>
      <c r="P136" s="8">
        <v>8.3333333333333329E-2</v>
      </c>
      <c r="S136" s="6">
        <v>1</v>
      </c>
      <c r="U136" s="6" t="s">
        <v>224</v>
      </c>
      <c r="W136" s="6" t="s">
        <v>320</v>
      </c>
      <c r="X136" s="5" t="s">
        <v>811</v>
      </c>
      <c r="Y136" s="6" t="s">
        <v>332</v>
      </c>
    </row>
    <row r="137" spans="1:39" ht="30.75">
      <c r="A137" s="6" t="s">
        <v>149</v>
      </c>
      <c r="B137" s="251" t="s">
        <v>1090</v>
      </c>
      <c r="C137" s="5" t="s">
        <v>812</v>
      </c>
      <c r="F137" s="6" t="s">
        <v>315</v>
      </c>
      <c r="H137" s="6" t="s">
        <v>316</v>
      </c>
      <c r="I137" s="6" t="s">
        <v>371</v>
      </c>
      <c r="L137" s="6" t="s">
        <v>329</v>
      </c>
      <c r="M137" s="14" t="s">
        <v>813</v>
      </c>
      <c r="N137" s="6">
        <v>0</v>
      </c>
      <c r="S137" s="6">
        <v>1</v>
      </c>
      <c r="U137" s="6" t="s">
        <v>224</v>
      </c>
      <c r="W137" s="6" t="s">
        <v>320</v>
      </c>
      <c r="X137" s="5" t="s">
        <v>814</v>
      </c>
      <c r="Y137" s="6" t="s">
        <v>332</v>
      </c>
    </row>
    <row r="138" spans="1:39" ht="30.75">
      <c r="A138" s="6" t="s">
        <v>150</v>
      </c>
      <c r="B138" s="251" t="s">
        <v>1090</v>
      </c>
      <c r="C138" s="5" t="s">
        <v>816</v>
      </c>
      <c r="F138" s="6" t="s">
        <v>315</v>
      </c>
      <c r="H138" s="6" t="s">
        <v>316</v>
      </c>
      <c r="I138" s="6" t="s">
        <v>371</v>
      </c>
      <c r="L138" s="6" t="s">
        <v>329</v>
      </c>
      <c r="M138" s="14" t="s">
        <v>817</v>
      </c>
      <c r="N138" s="6">
        <v>0</v>
      </c>
      <c r="S138" s="6">
        <v>1</v>
      </c>
      <c r="U138" s="6" t="s">
        <v>224</v>
      </c>
      <c r="W138" s="6" t="s">
        <v>320</v>
      </c>
      <c r="X138" s="5" t="s">
        <v>818</v>
      </c>
      <c r="Y138" s="6" t="s">
        <v>332</v>
      </c>
    </row>
    <row r="139" spans="1:39" ht="45.75">
      <c r="A139" s="6" t="s">
        <v>151</v>
      </c>
      <c r="B139" s="251" t="s">
        <v>1090</v>
      </c>
      <c r="C139" s="5" t="s">
        <v>819</v>
      </c>
      <c r="F139" s="6" t="s">
        <v>315</v>
      </c>
      <c r="H139" s="6" t="s">
        <v>316</v>
      </c>
      <c r="I139" s="6" t="s">
        <v>371</v>
      </c>
      <c r="L139" s="6" t="s">
        <v>329</v>
      </c>
      <c r="M139" s="14" t="s">
        <v>820</v>
      </c>
      <c r="N139" s="6">
        <v>0</v>
      </c>
      <c r="S139" s="6">
        <v>1</v>
      </c>
      <c r="U139" s="6" t="s">
        <v>224</v>
      </c>
      <c r="W139" s="6" t="s">
        <v>320</v>
      </c>
      <c r="X139" s="5" t="s">
        <v>821</v>
      </c>
      <c r="Y139" s="6" t="s">
        <v>332</v>
      </c>
    </row>
    <row r="140" spans="1:39" ht="30.75">
      <c r="A140" s="6" t="s">
        <v>152</v>
      </c>
      <c r="B140" s="251" t="s">
        <v>1090</v>
      </c>
      <c r="C140" s="5" t="s">
        <v>825</v>
      </c>
      <c r="F140" s="6" t="s">
        <v>315</v>
      </c>
      <c r="H140" s="6" t="s">
        <v>316</v>
      </c>
      <c r="I140" s="6" t="s">
        <v>371</v>
      </c>
      <c r="L140" s="6" t="s">
        <v>329</v>
      </c>
      <c r="M140" s="14" t="s">
        <v>826</v>
      </c>
      <c r="N140" s="6">
        <v>1</v>
      </c>
      <c r="P140" s="8">
        <v>0.16666666666666666</v>
      </c>
      <c r="Q140" s="6" t="s">
        <v>827</v>
      </c>
      <c r="S140" s="6">
        <v>1</v>
      </c>
      <c r="U140" s="6" t="s">
        <v>224</v>
      </c>
      <c r="W140" s="6" t="s">
        <v>320</v>
      </c>
      <c r="X140" s="5" t="s">
        <v>828</v>
      </c>
      <c r="Y140" s="6" t="s">
        <v>332</v>
      </c>
    </row>
    <row r="141" spans="1:39" ht="30.75">
      <c r="A141" s="6" t="s">
        <v>153</v>
      </c>
      <c r="B141" s="251" t="s">
        <v>1090</v>
      </c>
      <c r="C141" s="5" t="s">
        <v>832</v>
      </c>
      <c r="F141" s="6" t="s">
        <v>315</v>
      </c>
      <c r="H141" s="6" t="s">
        <v>316</v>
      </c>
      <c r="I141" s="6" t="s">
        <v>371</v>
      </c>
      <c r="L141" s="6" t="s">
        <v>329</v>
      </c>
      <c r="M141" s="14" t="s">
        <v>833</v>
      </c>
      <c r="N141" s="6">
        <v>1</v>
      </c>
      <c r="P141" s="8">
        <v>0.70833333333333337</v>
      </c>
      <c r="Q141" s="6" t="s">
        <v>834</v>
      </c>
      <c r="S141" s="6">
        <v>1</v>
      </c>
      <c r="U141" s="6" t="s">
        <v>224</v>
      </c>
      <c r="W141" s="6" t="s">
        <v>320</v>
      </c>
      <c r="X141" s="5" t="s">
        <v>835</v>
      </c>
      <c r="Y141" s="6" t="s">
        <v>332</v>
      </c>
    </row>
    <row r="142" spans="1:39" ht="30.75">
      <c r="A142" s="6" t="s">
        <v>1195</v>
      </c>
      <c r="B142" s="251" t="s">
        <v>1090</v>
      </c>
      <c r="C142" s="5" t="s">
        <v>838</v>
      </c>
      <c r="F142" s="6" t="s">
        <v>315</v>
      </c>
      <c r="H142" s="6" t="s">
        <v>316</v>
      </c>
      <c r="I142" s="6" t="s">
        <v>371</v>
      </c>
      <c r="L142" s="6" t="s">
        <v>329</v>
      </c>
      <c r="M142" s="5" t="s">
        <v>839</v>
      </c>
      <c r="N142" s="6">
        <v>1</v>
      </c>
      <c r="P142" s="8">
        <v>0.875</v>
      </c>
      <c r="Q142" s="6" t="s">
        <v>840</v>
      </c>
      <c r="S142" s="6">
        <v>1</v>
      </c>
      <c r="U142" s="6" t="s">
        <v>224</v>
      </c>
      <c r="W142" s="6" t="s">
        <v>320</v>
      </c>
      <c r="X142" s="5" t="s">
        <v>841</v>
      </c>
      <c r="Y142" s="6" t="s">
        <v>332</v>
      </c>
    </row>
    <row r="143" spans="1:39" ht="30.75">
      <c r="A143" s="6" t="s">
        <v>154</v>
      </c>
      <c r="B143" s="251" t="s">
        <v>1090</v>
      </c>
      <c r="C143" s="5" t="s">
        <v>845</v>
      </c>
      <c r="F143" s="6" t="s">
        <v>315</v>
      </c>
      <c r="H143" s="6" t="s">
        <v>316</v>
      </c>
      <c r="I143" s="6" t="s">
        <v>371</v>
      </c>
      <c r="L143" s="6" t="s">
        <v>329</v>
      </c>
      <c r="M143" s="14" t="s">
        <v>846</v>
      </c>
      <c r="N143" s="6">
        <v>1</v>
      </c>
      <c r="P143" s="8">
        <v>0.70833333333333337</v>
      </c>
      <c r="Q143" s="6" t="s">
        <v>847</v>
      </c>
      <c r="S143" s="6">
        <v>1</v>
      </c>
      <c r="U143" s="6" t="s">
        <v>224</v>
      </c>
      <c r="W143" s="6" t="s">
        <v>320</v>
      </c>
      <c r="X143" s="5" t="s">
        <v>848</v>
      </c>
      <c r="Y143" s="6" t="s">
        <v>332</v>
      </c>
    </row>
    <row r="144" spans="1:39" ht="30.75">
      <c r="A144" s="6" t="s">
        <v>155</v>
      </c>
      <c r="B144" s="251" t="s">
        <v>1196</v>
      </c>
      <c r="C144" s="5" t="s">
        <v>850</v>
      </c>
      <c r="F144" s="6" t="s">
        <v>315</v>
      </c>
      <c r="H144" s="6" t="s">
        <v>316</v>
      </c>
      <c r="I144" s="6" t="s">
        <v>371</v>
      </c>
      <c r="L144" s="6" t="s">
        <v>329</v>
      </c>
      <c r="M144" s="14" t="s">
        <v>851</v>
      </c>
      <c r="N144" s="6">
        <v>1</v>
      </c>
      <c r="P144" s="8">
        <v>0.70833333333333337</v>
      </c>
      <c r="Q144" s="6" t="s">
        <v>852</v>
      </c>
      <c r="S144" s="6">
        <v>1</v>
      </c>
      <c r="U144" s="6" t="s">
        <v>224</v>
      </c>
      <c r="W144" s="6" t="s">
        <v>320</v>
      </c>
      <c r="X144" s="5" t="s">
        <v>853</v>
      </c>
      <c r="Y144" s="6" t="s">
        <v>332</v>
      </c>
    </row>
    <row r="150" spans="1:4" ht="60.75">
      <c r="A150" s="6" t="s">
        <v>1197</v>
      </c>
      <c r="C150" s="5" t="s">
        <v>1198</v>
      </c>
    </row>
    <row r="151" spans="1:4">
      <c r="A151" s="20"/>
      <c r="B151" s="20"/>
    </row>
    <row r="152" spans="1:4" ht="30.75">
      <c r="A152" s="1" t="s">
        <v>1199</v>
      </c>
      <c r="B152" s="1"/>
    </row>
    <row r="153" spans="1:4" ht="30.75">
      <c r="A153" s="35" t="s">
        <v>1200</v>
      </c>
      <c r="B153" s="35"/>
    </row>
    <row r="154" spans="1:4" ht="30.75">
      <c r="A154" s="2" t="s">
        <v>1201</v>
      </c>
      <c r="B154" s="2"/>
    </row>
    <row r="156" spans="1:4" ht="45.75">
      <c r="A156" s="5" t="s">
        <v>1202</v>
      </c>
      <c r="B156" s="5"/>
    </row>
    <row r="159" spans="1:4" ht="30.75">
      <c r="A159" s="5" t="s">
        <v>904</v>
      </c>
      <c r="B159" s="5"/>
      <c r="C159" s="36" t="s">
        <v>871</v>
      </c>
    </row>
    <row r="160" spans="1:4">
      <c r="A160" s="16" t="s">
        <v>905</v>
      </c>
      <c r="B160" s="16"/>
      <c r="C160" s="37" t="s">
        <v>874</v>
      </c>
      <c r="D160" s="37"/>
    </row>
    <row r="161" spans="1:2">
      <c r="A161" s="5"/>
      <c r="B161" s="5"/>
    </row>
  </sheetData>
  <autoFilter ref="A2:AM144" xr:uid="{00000000-0001-0000-0000-000000000000}"/>
  <sortState xmlns:xlrd2="http://schemas.microsoft.com/office/spreadsheetml/2017/richdata2" ref="A2:AL143">
    <sortCondition ref="A2:A143"/>
  </sortState>
  <hyperlinks>
    <hyperlink ref="H27:H29" r:id="rId1" display="ASYSFTPP@SYSC " xr:uid="{00000000-0004-0000-0000-000000000000}"/>
    <hyperlink ref="H51:H56" r:id="rId2" display="ASYSFTPP@SYSC " xr:uid="{00000000-0004-0000-0000-000001000000}"/>
    <hyperlink ref="H67:H69" r:id="rId3" display="ASYSFTPP@SYSC " xr:uid="{00000000-0004-0000-0000-000002000000}"/>
    <hyperlink ref="H96" r:id="rId4" xr:uid="{00000000-0004-0000-0000-000003000000}"/>
    <hyperlink ref="H76:H79" r:id="rId5" display="ASYSFTPP@SYSC " xr:uid="{00000000-0004-0000-0000-000004000000}"/>
    <hyperlink ref="H89:H91" r:id="rId6" display="ASYSFTPP@SYSC " xr:uid="{00000000-0004-0000-0000-000005000000}"/>
    <hyperlink ref="H35" r:id="rId7" xr:uid="{00000000-0004-0000-0000-000006000000}"/>
    <hyperlink ref="H40" r:id="rId8" xr:uid="{00000000-0004-0000-0000-000007000000}"/>
    <hyperlink ref="A160" r:id="rId9" display="https://amerenprod.service-now.com/asp?id=sc_cat_item&amp;sys_id=67f8629cdbf5d4903b95c443059619c0" xr:uid="{00000000-0004-0000-0000-000008000000}"/>
    <hyperlink ref="H54" r:id="rId10" display="ASYSFTPP@SYSC " xr:uid="{E3F71008-ED96-43F5-BB6F-3A34EB56A64C}"/>
    <hyperlink ref="H114:H115" r:id="rId11" display="ASYSFTPP@SYSC " xr:uid="{43F12963-D192-4EC0-A2A7-7B52A868FB02}"/>
    <hyperlink ref="H115" r:id="rId12" display="ASYSFTPP@SYSC " xr:uid="{BE88F164-A8AE-4C17-9C30-B0F976B10813}"/>
    <hyperlink ref="H110" r:id="rId13" display="ASYSFTPP@SYSC " xr:uid="{1C614AF7-5BEB-40AA-8397-CEFCFC666B33}"/>
  </hyperlinks>
  <pageMargins left="0.7" right="0.7" top="0.75" bottom="0.75" header="0.3" footer="0.3"/>
  <pageSetup orientation="portrait" r:id="rId14"/>
  <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5E41-4A74-4F6A-A3BB-CB65F637216F}">
  <dimension ref="A1:S195"/>
  <sheetViews>
    <sheetView workbookViewId="0">
      <selection activeCell="B48" sqref="B48"/>
    </sheetView>
  </sheetViews>
  <sheetFormatPr defaultRowHeight="15"/>
  <cols>
    <col min="2" max="2" width="23.42578125" customWidth="1"/>
    <col min="3" max="3" width="31.42578125" customWidth="1"/>
    <col min="4" max="4" width="30.5703125" customWidth="1"/>
    <col min="5" max="5" width="56.28515625" customWidth="1"/>
    <col min="6" max="6" width="49.140625" customWidth="1"/>
  </cols>
  <sheetData>
    <row r="1" spans="1:19">
      <c r="A1" s="218" t="s">
        <v>1203</v>
      </c>
      <c r="B1" s="219" t="s">
        <v>1204</v>
      </c>
      <c r="C1" s="220" t="s">
        <v>1205</v>
      </c>
      <c r="D1" s="221" t="s">
        <v>1206</v>
      </c>
      <c r="E1" s="220" t="s">
        <v>176</v>
      </c>
    </row>
    <row r="2" spans="1:19">
      <c r="A2" s="95">
        <v>1</v>
      </c>
      <c r="B2" s="96" t="s">
        <v>1207</v>
      </c>
      <c r="C2" s="97" t="s">
        <v>923</v>
      </c>
      <c r="D2" s="95">
        <v>1886</v>
      </c>
      <c r="E2" s="97" t="s">
        <v>1208</v>
      </c>
      <c r="G2" s="365" t="s">
        <v>1209</v>
      </c>
      <c r="H2" s="365"/>
      <c r="I2" s="365"/>
      <c r="J2" s="365"/>
      <c r="K2" s="365"/>
      <c r="L2" s="365"/>
      <c r="M2" s="365"/>
      <c r="N2" s="365"/>
      <c r="O2" s="365"/>
      <c r="P2" s="365"/>
      <c r="Q2" s="365"/>
      <c r="R2" s="365"/>
    </row>
    <row r="3" spans="1:19">
      <c r="A3" s="95">
        <v>2</v>
      </c>
      <c r="B3" s="96" t="s">
        <v>1210</v>
      </c>
      <c r="C3" s="97" t="s">
        <v>923</v>
      </c>
      <c r="D3" s="95">
        <v>1199</v>
      </c>
      <c r="E3" s="97"/>
      <c r="G3" s="365"/>
      <c r="H3" s="365"/>
      <c r="I3" s="365"/>
      <c r="J3" s="365"/>
      <c r="K3" s="365"/>
      <c r="L3" s="365"/>
      <c r="M3" s="365"/>
      <c r="N3" s="365"/>
      <c r="O3" s="365"/>
      <c r="P3" s="365"/>
      <c r="Q3" s="365"/>
      <c r="R3" s="365"/>
    </row>
    <row r="4" spans="1:19">
      <c r="A4" s="95">
        <v>3</v>
      </c>
      <c r="B4" s="96" t="s">
        <v>1211</v>
      </c>
      <c r="C4" s="97" t="s">
        <v>923</v>
      </c>
      <c r="D4" s="95">
        <v>2370</v>
      </c>
      <c r="E4" s="97" t="s">
        <v>1212</v>
      </c>
      <c r="G4" s="365"/>
      <c r="H4" s="365"/>
      <c r="I4" s="365"/>
      <c r="J4" s="365"/>
      <c r="K4" s="365"/>
      <c r="L4" s="365"/>
      <c r="M4" s="365"/>
      <c r="N4" s="365"/>
      <c r="O4" s="365"/>
      <c r="P4" s="365"/>
      <c r="Q4" s="365"/>
      <c r="R4" s="365"/>
    </row>
    <row r="5" spans="1:19">
      <c r="A5" s="95">
        <v>4</v>
      </c>
      <c r="B5" s="222" t="s">
        <v>1213</v>
      </c>
      <c r="C5" s="223" t="s">
        <v>923</v>
      </c>
      <c r="D5" s="224">
        <v>1900</v>
      </c>
      <c r="E5" s="223" t="s">
        <v>1214</v>
      </c>
      <c r="F5" s="225" t="s">
        <v>1215</v>
      </c>
      <c r="G5" s="365"/>
      <c r="H5" s="365"/>
      <c r="I5" s="365"/>
      <c r="J5" s="365"/>
      <c r="K5" s="365"/>
      <c r="L5" s="365"/>
      <c r="M5" s="365"/>
      <c r="N5" s="365"/>
      <c r="O5" s="365"/>
      <c r="P5" s="365"/>
      <c r="Q5" s="365"/>
      <c r="R5" s="365"/>
      <c r="S5" s="225"/>
    </row>
    <row r="6" spans="1:19">
      <c r="A6" s="95">
        <v>5</v>
      </c>
      <c r="B6" s="96" t="s">
        <v>1216</v>
      </c>
      <c r="C6" s="97" t="s">
        <v>923</v>
      </c>
      <c r="D6" s="95">
        <v>1057</v>
      </c>
      <c r="E6" s="97" t="s">
        <v>1217</v>
      </c>
    </row>
    <row r="7" spans="1:19">
      <c r="A7" s="95">
        <v>6</v>
      </c>
      <c r="B7" s="96" t="s">
        <v>1218</v>
      </c>
      <c r="C7" s="97" t="s">
        <v>923</v>
      </c>
      <c r="D7" s="95">
        <v>1481</v>
      </c>
      <c r="E7" s="97" t="s">
        <v>1219</v>
      </c>
    </row>
    <row r="8" spans="1:19">
      <c r="A8" s="95">
        <v>7</v>
      </c>
      <c r="B8" s="226" t="s">
        <v>1220</v>
      </c>
      <c r="C8" s="227" t="s">
        <v>923</v>
      </c>
      <c r="D8" s="228">
        <v>1368</v>
      </c>
      <c r="E8" s="227" t="s">
        <v>1214</v>
      </c>
      <c r="F8" s="225" t="s">
        <v>1215</v>
      </c>
      <c r="G8" s="225"/>
      <c r="H8" s="225"/>
      <c r="I8" s="225"/>
      <c r="J8" s="225"/>
      <c r="K8" s="225"/>
      <c r="L8" s="225"/>
      <c r="M8" s="225"/>
      <c r="N8" s="225"/>
      <c r="O8" s="225"/>
      <c r="P8" s="225"/>
      <c r="Q8" s="225"/>
      <c r="R8" s="225"/>
      <c r="S8" s="225"/>
    </row>
    <row r="9" spans="1:19">
      <c r="A9" s="98">
        <v>8</v>
      </c>
      <c r="B9" s="99" t="s">
        <v>1221</v>
      </c>
      <c r="C9" s="100" t="s">
        <v>923</v>
      </c>
      <c r="D9" s="101">
        <v>2475</v>
      </c>
      <c r="E9" s="100" t="s">
        <v>1222</v>
      </c>
    </row>
    <row r="10" spans="1:19">
      <c r="A10" s="98">
        <v>9</v>
      </c>
      <c r="B10" s="99" t="s">
        <v>1223</v>
      </c>
      <c r="C10" s="100" t="s">
        <v>923</v>
      </c>
      <c r="D10" s="101">
        <v>1104</v>
      </c>
      <c r="E10" s="100"/>
    </row>
    <row r="11" spans="1:19">
      <c r="A11" s="98">
        <v>10</v>
      </c>
      <c r="B11" s="99" t="s">
        <v>1224</v>
      </c>
      <c r="C11" s="100" t="s">
        <v>923</v>
      </c>
      <c r="D11" s="101">
        <v>1979</v>
      </c>
      <c r="E11" s="100"/>
    </row>
    <row r="12" spans="1:19">
      <c r="A12" s="98">
        <v>11</v>
      </c>
      <c r="B12" s="99" t="s">
        <v>1225</v>
      </c>
      <c r="C12" s="100" t="s">
        <v>923</v>
      </c>
      <c r="D12" s="101">
        <v>1099</v>
      </c>
      <c r="E12" s="100"/>
    </row>
    <row r="13" spans="1:19">
      <c r="A13" s="98">
        <v>12</v>
      </c>
      <c r="B13" s="99" t="s">
        <v>1226</v>
      </c>
      <c r="C13" s="100" t="s">
        <v>923</v>
      </c>
      <c r="D13" s="101">
        <v>1209</v>
      </c>
      <c r="E13" s="100" t="s">
        <v>1227</v>
      </c>
    </row>
    <row r="14" spans="1:19">
      <c r="A14" s="98">
        <v>13</v>
      </c>
      <c r="B14" s="99" t="s">
        <v>1228</v>
      </c>
      <c r="C14" s="100" t="s">
        <v>923</v>
      </c>
      <c r="D14" s="101">
        <v>1170</v>
      </c>
      <c r="E14" s="100"/>
    </row>
    <row r="15" spans="1:19">
      <c r="A15" s="98">
        <v>14</v>
      </c>
      <c r="B15" s="229" t="s">
        <v>1229</v>
      </c>
      <c r="C15" s="230" t="s">
        <v>923</v>
      </c>
      <c r="D15" s="231">
        <v>1262</v>
      </c>
      <c r="E15" s="230" t="s">
        <v>1214</v>
      </c>
      <c r="F15" s="225" t="s">
        <v>1215</v>
      </c>
      <c r="G15" s="225"/>
      <c r="H15" s="225"/>
      <c r="I15" s="225"/>
      <c r="J15" s="225"/>
      <c r="K15" s="225"/>
      <c r="L15" s="225"/>
      <c r="M15" s="225"/>
      <c r="N15" s="225"/>
      <c r="O15" s="225"/>
      <c r="P15" s="225"/>
      <c r="Q15" s="225"/>
      <c r="R15" s="225"/>
      <c r="S15" s="225"/>
    </row>
    <row r="16" spans="1:19">
      <c r="A16" s="98">
        <v>15</v>
      </c>
      <c r="B16" s="229" t="s">
        <v>1230</v>
      </c>
      <c r="C16" s="230" t="s">
        <v>923</v>
      </c>
      <c r="D16" s="231">
        <v>1906</v>
      </c>
      <c r="E16" s="230" t="s">
        <v>1214</v>
      </c>
      <c r="F16" s="225" t="s">
        <v>1231</v>
      </c>
    </row>
    <row r="17" spans="1:6">
      <c r="A17" s="98">
        <v>16</v>
      </c>
      <c r="B17" s="99" t="s">
        <v>1232</v>
      </c>
      <c r="C17" s="100" t="s">
        <v>923</v>
      </c>
      <c r="D17" s="101">
        <v>2296</v>
      </c>
      <c r="E17" s="100" t="s">
        <v>1233</v>
      </c>
    </row>
    <row r="18" spans="1:6">
      <c r="A18" s="98">
        <v>17</v>
      </c>
      <c r="B18" s="99" t="s">
        <v>1234</v>
      </c>
      <c r="C18" s="100" t="s">
        <v>923</v>
      </c>
      <c r="D18" s="101">
        <v>5953</v>
      </c>
      <c r="E18" s="100" t="s">
        <v>1235</v>
      </c>
    </row>
    <row r="19" spans="1:6">
      <c r="A19" s="98">
        <v>18</v>
      </c>
      <c r="B19" s="99" t="s">
        <v>1236</v>
      </c>
      <c r="C19" s="100" t="s">
        <v>923</v>
      </c>
      <c r="D19" s="101">
        <v>2931</v>
      </c>
      <c r="E19" s="100" t="s">
        <v>1237</v>
      </c>
    </row>
    <row r="20" spans="1:6">
      <c r="A20" s="98">
        <v>19</v>
      </c>
      <c r="B20" s="99" t="s">
        <v>1238</v>
      </c>
      <c r="C20" s="100" t="s">
        <v>923</v>
      </c>
      <c r="D20" s="101">
        <v>2925</v>
      </c>
      <c r="E20" s="100" t="s">
        <v>1239</v>
      </c>
    </row>
    <row r="21" spans="1:6">
      <c r="A21" s="98">
        <v>20</v>
      </c>
      <c r="B21" s="99" t="s">
        <v>1240</v>
      </c>
      <c r="C21" s="100" t="s">
        <v>923</v>
      </c>
      <c r="D21" s="101">
        <v>700</v>
      </c>
      <c r="E21" s="100" t="s">
        <v>1241</v>
      </c>
    </row>
    <row r="22" spans="1:6">
      <c r="A22" s="98">
        <v>21</v>
      </c>
      <c r="B22" s="99" t="s">
        <v>975</v>
      </c>
      <c r="C22" s="100" t="s">
        <v>923</v>
      </c>
      <c r="D22" s="101">
        <v>652</v>
      </c>
      <c r="E22" s="100" t="s">
        <v>1242</v>
      </c>
    </row>
    <row r="23" spans="1:6">
      <c r="A23" s="98">
        <v>22</v>
      </c>
      <c r="B23" s="99" t="s">
        <v>1243</v>
      </c>
      <c r="C23" s="100" t="s">
        <v>923</v>
      </c>
      <c r="D23" s="101">
        <v>7847</v>
      </c>
      <c r="E23" s="100" t="s">
        <v>1244</v>
      </c>
    </row>
    <row r="24" spans="1:6">
      <c r="A24" s="98">
        <v>23</v>
      </c>
      <c r="B24" s="99" t="s">
        <v>940</v>
      </c>
      <c r="C24" s="100" t="s">
        <v>923</v>
      </c>
      <c r="D24" s="101">
        <v>1012</v>
      </c>
      <c r="E24" s="100" t="s">
        <v>1245</v>
      </c>
    </row>
    <row r="25" spans="1:6">
      <c r="A25" s="98">
        <v>24</v>
      </c>
      <c r="B25" s="99" t="s">
        <v>1246</v>
      </c>
      <c r="C25" s="100" t="s">
        <v>923</v>
      </c>
      <c r="D25" s="101">
        <v>837</v>
      </c>
      <c r="E25" s="100" t="s">
        <v>1247</v>
      </c>
    </row>
    <row r="26" spans="1:6">
      <c r="A26" s="98">
        <v>25</v>
      </c>
      <c r="B26" s="229" t="s">
        <v>1248</v>
      </c>
      <c r="C26" s="230" t="s">
        <v>923</v>
      </c>
      <c r="D26" s="231">
        <v>3531</v>
      </c>
      <c r="E26" s="230" t="s">
        <v>1214</v>
      </c>
      <c r="F26" s="225" t="s">
        <v>1231</v>
      </c>
    </row>
    <row r="27" spans="1:6">
      <c r="A27" s="98">
        <v>26</v>
      </c>
      <c r="B27" s="229" t="s">
        <v>1249</v>
      </c>
      <c r="C27" s="230" t="s">
        <v>923</v>
      </c>
      <c r="D27" s="231">
        <v>3488</v>
      </c>
      <c r="E27" s="230" t="s">
        <v>1214</v>
      </c>
      <c r="F27" s="225" t="s">
        <v>1231</v>
      </c>
    </row>
    <row r="28" spans="1:6">
      <c r="A28" s="98">
        <v>27</v>
      </c>
      <c r="B28" s="99" t="s">
        <v>1250</v>
      </c>
      <c r="C28" s="100" t="s">
        <v>923</v>
      </c>
      <c r="D28" s="101">
        <v>5357</v>
      </c>
      <c r="E28" s="100" t="s">
        <v>1251</v>
      </c>
    </row>
    <row r="29" spans="1:6">
      <c r="A29" s="98">
        <v>28</v>
      </c>
      <c r="B29" s="99" t="s">
        <v>1252</v>
      </c>
      <c r="C29" s="100" t="s">
        <v>923</v>
      </c>
      <c r="D29" s="101">
        <v>2314</v>
      </c>
      <c r="E29" s="100" t="s">
        <v>1253</v>
      </c>
    </row>
    <row r="30" spans="1:6">
      <c r="A30" s="98">
        <v>29</v>
      </c>
      <c r="B30" s="99" t="s">
        <v>1254</v>
      </c>
      <c r="C30" s="100" t="s">
        <v>923</v>
      </c>
      <c r="D30" s="101">
        <v>729</v>
      </c>
      <c r="E30" s="100" t="s">
        <v>1255</v>
      </c>
    </row>
    <row r="31" spans="1:6">
      <c r="A31" s="98">
        <v>30</v>
      </c>
      <c r="B31" s="99" t="s">
        <v>1041</v>
      </c>
      <c r="C31" s="100" t="s">
        <v>923</v>
      </c>
      <c r="D31" s="101">
        <v>22772</v>
      </c>
      <c r="E31" s="100" t="s">
        <v>1256</v>
      </c>
    </row>
    <row r="32" spans="1:6">
      <c r="A32" s="98">
        <v>31</v>
      </c>
      <c r="B32" s="99" t="s">
        <v>1257</v>
      </c>
      <c r="C32" s="100" t="s">
        <v>923</v>
      </c>
      <c r="D32" s="101">
        <v>1594</v>
      </c>
      <c r="E32" s="100" t="s">
        <v>1258</v>
      </c>
    </row>
    <row r="33" spans="1:6">
      <c r="A33" s="98">
        <v>32</v>
      </c>
      <c r="B33" s="99" t="s">
        <v>1259</v>
      </c>
      <c r="C33" s="100" t="s">
        <v>923</v>
      </c>
      <c r="D33" s="101">
        <v>315</v>
      </c>
      <c r="E33" s="100" t="s">
        <v>1260</v>
      </c>
    </row>
    <row r="34" spans="1:6">
      <c r="A34" s="98">
        <v>33</v>
      </c>
      <c r="B34" s="99" t="s">
        <v>1261</v>
      </c>
      <c r="C34" s="100" t="s">
        <v>923</v>
      </c>
      <c r="D34" s="101">
        <v>644</v>
      </c>
      <c r="E34" s="100" t="s">
        <v>1262</v>
      </c>
    </row>
    <row r="35" spans="1:6">
      <c r="A35" s="98">
        <v>34</v>
      </c>
      <c r="B35" s="99" t="s">
        <v>1263</v>
      </c>
      <c r="C35" s="100" t="s">
        <v>923</v>
      </c>
      <c r="D35" s="101">
        <v>1807</v>
      </c>
      <c r="E35" s="100" t="s">
        <v>1264</v>
      </c>
    </row>
    <row r="36" spans="1:6">
      <c r="A36" s="98">
        <v>35</v>
      </c>
      <c r="B36" s="99" t="s">
        <v>1265</v>
      </c>
      <c r="C36" s="100" t="s">
        <v>923</v>
      </c>
      <c r="D36" s="101">
        <v>1994</v>
      </c>
      <c r="E36" s="100" t="s">
        <v>1266</v>
      </c>
    </row>
    <row r="37" spans="1:6">
      <c r="A37" s="98">
        <v>36</v>
      </c>
      <c r="B37" s="99" t="s">
        <v>1267</v>
      </c>
      <c r="C37" s="100" t="s">
        <v>923</v>
      </c>
      <c r="D37" s="101">
        <v>1626</v>
      </c>
      <c r="E37" s="100" t="s">
        <v>1268</v>
      </c>
    </row>
    <row r="38" spans="1:6">
      <c r="A38" s="98">
        <v>37</v>
      </c>
      <c r="B38" s="99" t="s">
        <v>1011</v>
      </c>
      <c r="C38" s="100" t="s">
        <v>923</v>
      </c>
      <c r="D38" s="101">
        <v>1455</v>
      </c>
      <c r="E38" s="100" t="s">
        <v>1269</v>
      </c>
    </row>
    <row r="39" spans="1:6">
      <c r="A39" s="98">
        <v>38</v>
      </c>
      <c r="B39" s="99" t="s">
        <v>1270</v>
      </c>
      <c r="C39" s="100" t="s">
        <v>923</v>
      </c>
      <c r="D39" s="101">
        <v>682</v>
      </c>
      <c r="E39" s="100" t="s">
        <v>1271</v>
      </c>
    </row>
    <row r="40" spans="1:6">
      <c r="A40" s="98">
        <v>39</v>
      </c>
      <c r="B40" s="99" t="s">
        <v>1272</v>
      </c>
      <c r="C40" s="100" t="s">
        <v>923</v>
      </c>
      <c r="D40" s="101">
        <v>927</v>
      </c>
      <c r="E40" s="100" t="s">
        <v>1273</v>
      </c>
    </row>
    <row r="41" spans="1:6">
      <c r="A41" s="98">
        <v>40</v>
      </c>
      <c r="B41" s="99" t="s">
        <v>1274</v>
      </c>
      <c r="C41" s="100" t="s">
        <v>923</v>
      </c>
      <c r="D41" s="101">
        <v>1965</v>
      </c>
      <c r="E41" s="100" t="s">
        <v>1275</v>
      </c>
    </row>
    <row r="42" spans="1:6">
      <c r="A42" s="98">
        <v>41</v>
      </c>
      <c r="B42" s="99" t="s">
        <v>1276</v>
      </c>
      <c r="C42" s="100" t="s">
        <v>923</v>
      </c>
      <c r="D42" s="101">
        <v>510</v>
      </c>
      <c r="E42" s="100" t="s">
        <v>1277</v>
      </c>
    </row>
    <row r="43" spans="1:6">
      <c r="A43" s="98">
        <v>42</v>
      </c>
      <c r="B43" s="99" t="s">
        <v>1278</v>
      </c>
      <c r="C43" s="100" t="s">
        <v>923</v>
      </c>
      <c r="D43" s="101">
        <v>628</v>
      </c>
      <c r="E43" s="100" t="s">
        <v>1279</v>
      </c>
    </row>
    <row r="44" spans="1:6">
      <c r="A44" s="98">
        <v>43</v>
      </c>
      <c r="B44" s="99" t="s">
        <v>1280</v>
      </c>
      <c r="C44" s="100" t="s">
        <v>923</v>
      </c>
      <c r="D44" s="101">
        <v>448</v>
      </c>
      <c r="E44" s="100" t="s">
        <v>1281</v>
      </c>
    </row>
    <row r="45" spans="1:6">
      <c r="A45" s="98">
        <v>44</v>
      </c>
      <c r="B45" s="99" t="s">
        <v>978</v>
      </c>
      <c r="C45" s="100" t="s">
        <v>923</v>
      </c>
      <c r="D45" s="101">
        <v>951</v>
      </c>
      <c r="E45" s="100" t="s">
        <v>1282</v>
      </c>
    </row>
    <row r="46" spans="1:6">
      <c r="A46" s="98">
        <v>45</v>
      </c>
      <c r="B46" s="99" t="s">
        <v>1283</v>
      </c>
      <c r="C46" s="100" t="s">
        <v>923</v>
      </c>
      <c r="D46" s="101">
        <v>1724</v>
      </c>
      <c r="E46" s="100" t="s">
        <v>1284</v>
      </c>
    </row>
    <row r="47" spans="1:6">
      <c r="A47" s="98">
        <v>46</v>
      </c>
      <c r="B47" s="99" t="s">
        <v>1285</v>
      </c>
      <c r="C47" s="100" t="s">
        <v>923</v>
      </c>
      <c r="D47" s="101">
        <v>5647</v>
      </c>
      <c r="E47" s="100" t="s">
        <v>1286</v>
      </c>
    </row>
    <row r="48" spans="1:6">
      <c r="A48" s="98">
        <v>47</v>
      </c>
      <c r="B48" s="229" t="s">
        <v>1287</v>
      </c>
      <c r="C48" s="230" t="s">
        <v>923</v>
      </c>
      <c r="D48" s="231">
        <v>557</v>
      </c>
      <c r="E48" s="230" t="s">
        <v>1214</v>
      </c>
      <c r="F48" s="225" t="s">
        <v>1231</v>
      </c>
    </row>
    <row r="49" spans="1:5">
      <c r="A49" s="98">
        <v>48</v>
      </c>
      <c r="B49" s="99" t="s">
        <v>1288</v>
      </c>
      <c r="C49" s="100" t="s">
        <v>923</v>
      </c>
      <c r="D49" s="101">
        <v>1040</v>
      </c>
      <c r="E49" s="100" t="s">
        <v>1289</v>
      </c>
    </row>
    <row r="50" spans="1:5">
      <c r="A50" s="98">
        <v>49</v>
      </c>
      <c r="B50" s="99" t="s">
        <v>1290</v>
      </c>
      <c r="C50" s="100" t="s">
        <v>923</v>
      </c>
      <c r="D50" s="101">
        <v>958</v>
      </c>
      <c r="E50" s="100" t="s">
        <v>1291</v>
      </c>
    </row>
    <row r="51" spans="1:5">
      <c r="A51" s="98">
        <v>50</v>
      </c>
      <c r="B51" s="99" t="s">
        <v>1292</v>
      </c>
      <c r="C51" s="100" t="s">
        <v>923</v>
      </c>
      <c r="D51" s="101">
        <v>1069</v>
      </c>
      <c r="E51" s="100" t="s">
        <v>1293</v>
      </c>
    </row>
    <row r="52" spans="1:5">
      <c r="A52" s="98">
        <v>51</v>
      </c>
      <c r="B52" s="99" t="s">
        <v>1294</v>
      </c>
      <c r="C52" s="100" t="s">
        <v>923</v>
      </c>
      <c r="D52" s="101">
        <v>1340</v>
      </c>
      <c r="E52" s="100" t="s">
        <v>1295</v>
      </c>
    </row>
    <row r="53" spans="1:5">
      <c r="A53" s="98">
        <v>52</v>
      </c>
      <c r="B53" s="99" t="s">
        <v>1296</v>
      </c>
      <c r="C53" s="100" t="s">
        <v>923</v>
      </c>
      <c r="D53" s="101">
        <v>2306</v>
      </c>
      <c r="E53" s="100" t="s">
        <v>1297</v>
      </c>
    </row>
    <row r="54" spans="1:5">
      <c r="A54" s="98">
        <v>53</v>
      </c>
      <c r="B54" s="99" t="s">
        <v>1298</v>
      </c>
      <c r="C54" s="100" t="s">
        <v>923</v>
      </c>
      <c r="D54" s="101">
        <v>1625</v>
      </c>
      <c r="E54" s="100" t="s">
        <v>1299</v>
      </c>
    </row>
    <row r="55" spans="1:5">
      <c r="A55" s="98">
        <v>54</v>
      </c>
      <c r="B55" s="99" t="s">
        <v>1300</v>
      </c>
      <c r="C55" s="100" t="s">
        <v>923</v>
      </c>
      <c r="D55" s="101">
        <v>5262</v>
      </c>
      <c r="E55" s="100" t="s">
        <v>1301</v>
      </c>
    </row>
    <row r="56" spans="1:5">
      <c r="A56" s="98">
        <v>55</v>
      </c>
      <c r="B56" s="99" t="s">
        <v>1302</v>
      </c>
      <c r="C56" s="100" t="s">
        <v>923</v>
      </c>
      <c r="D56" s="101">
        <v>636</v>
      </c>
      <c r="E56" s="100" t="s">
        <v>1303</v>
      </c>
    </row>
    <row r="57" spans="1:5">
      <c r="A57" s="98">
        <v>56</v>
      </c>
      <c r="B57" s="99" t="s">
        <v>1304</v>
      </c>
      <c r="C57" s="100" t="s">
        <v>923</v>
      </c>
      <c r="D57" s="101">
        <v>434</v>
      </c>
      <c r="E57" s="100" t="s">
        <v>1305</v>
      </c>
    </row>
    <row r="58" spans="1:5">
      <c r="A58" s="98">
        <v>57</v>
      </c>
      <c r="B58" s="99" t="s">
        <v>1306</v>
      </c>
      <c r="C58" s="100" t="s">
        <v>923</v>
      </c>
      <c r="D58" s="101">
        <v>344</v>
      </c>
      <c r="E58" s="100" t="s">
        <v>1307</v>
      </c>
    </row>
    <row r="59" spans="1:5">
      <c r="A59" s="98">
        <v>58</v>
      </c>
      <c r="B59" s="99" t="s">
        <v>998</v>
      </c>
      <c r="C59" s="100" t="s">
        <v>923</v>
      </c>
      <c r="D59" s="101">
        <v>1698</v>
      </c>
      <c r="E59" s="100" t="s">
        <v>1308</v>
      </c>
    </row>
    <row r="60" spans="1:5">
      <c r="A60" s="98">
        <v>59</v>
      </c>
      <c r="B60" s="99" t="s">
        <v>1309</v>
      </c>
      <c r="C60" s="100" t="s">
        <v>923</v>
      </c>
      <c r="D60" s="101">
        <v>1186</v>
      </c>
      <c r="E60" s="100" t="s">
        <v>1310</v>
      </c>
    </row>
    <row r="61" spans="1:5">
      <c r="A61" s="98">
        <v>60</v>
      </c>
      <c r="B61" s="99" t="s">
        <v>1311</v>
      </c>
      <c r="C61" s="100" t="s">
        <v>923</v>
      </c>
      <c r="D61" s="101">
        <v>1450</v>
      </c>
      <c r="E61" s="100" t="s">
        <v>1312</v>
      </c>
    </row>
    <row r="62" spans="1:5">
      <c r="A62" s="98">
        <v>61</v>
      </c>
      <c r="B62" s="99" t="s">
        <v>1313</v>
      </c>
      <c r="C62" s="100" t="s">
        <v>923</v>
      </c>
      <c r="D62" s="101">
        <v>1482</v>
      </c>
      <c r="E62" s="100" t="s">
        <v>1314</v>
      </c>
    </row>
    <row r="63" spans="1:5">
      <c r="A63" s="98">
        <v>62</v>
      </c>
      <c r="B63" s="99" t="s">
        <v>1315</v>
      </c>
      <c r="C63" s="100" t="s">
        <v>923</v>
      </c>
      <c r="D63" s="101">
        <v>1235</v>
      </c>
      <c r="E63" s="100" t="s">
        <v>1316</v>
      </c>
    </row>
    <row r="64" spans="1:5">
      <c r="A64" s="98">
        <v>63</v>
      </c>
      <c r="B64" s="99" t="s">
        <v>1317</v>
      </c>
      <c r="C64" s="100" t="s">
        <v>923</v>
      </c>
      <c r="D64" s="101">
        <v>1291</v>
      </c>
      <c r="E64" s="100" t="s">
        <v>1318</v>
      </c>
    </row>
    <row r="65" spans="1:5">
      <c r="A65" s="98">
        <v>64</v>
      </c>
      <c r="B65" s="99" t="s">
        <v>1319</v>
      </c>
      <c r="C65" s="100" t="s">
        <v>923</v>
      </c>
      <c r="D65" s="101">
        <v>1495</v>
      </c>
      <c r="E65" s="100" t="s">
        <v>1320</v>
      </c>
    </row>
    <row r="66" spans="1:5">
      <c r="A66" s="98">
        <v>65</v>
      </c>
      <c r="B66" s="99" t="s">
        <v>1321</v>
      </c>
      <c r="C66" s="100" t="s">
        <v>923</v>
      </c>
      <c r="D66" s="101">
        <v>1486</v>
      </c>
      <c r="E66" s="100" t="s">
        <v>1322</v>
      </c>
    </row>
    <row r="67" spans="1:5">
      <c r="A67" s="98">
        <v>66</v>
      </c>
      <c r="B67" s="99" t="s">
        <v>1323</v>
      </c>
      <c r="C67" s="100" t="s">
        <v>923</v>
      </c>
      <c r="D67" s="101">
        <v>1487</v>
      </c>
      <c r="E67" s="100" t="s">
        <v>1324</v>
      </c>
    </row>
    <row r="68" spans="1:5">
      <c r="A68" s="98">
        <v>67</v>
      </c>
      <c r="B68" s="99" t="s">
        <v>1325</v>
      </c>
      <c r="C68" s="100" t="s">
        <v>923</v>
      </c>
      <c r="D68" s="101">
        <v>1393</v>
      </c>
      <c r="E68" s="100" t="s">
        <v>1326</v>
      </c>
    </row>
    <row r="69" spans="1:5">
      <c r="A69" s="98">
        <v>68</v>
      </c>
      <c r="B69" s="99" t="s">
        <v>1327</v>
      </c>
      <c r="C69" s="100" t="s">
        <v>923</v>
      </c>
      <c r="D69" s="101">
        <v>1950</v>
      </c>
      <c r="E69" s="100" t="s">
        <v>1328</v>
      </c>
    </row>
    <row r="70" spans="1:5">
      <c r="A70" s="98">
        <v>69</v>
      </c>
      <c r="B70" s="99" t="s">
        <v>1329</v>
      </c>
      <c r="C70" s="100" t="s">
        <v>923</v>
      </c>
      <c r="D70" s="101">
        <v>1412</v>
      </c>
      <c r="E70" s="100" t="s">
        <v>1330</v>
      </c>
    </row>
    <row r="71" spans="1:5">
      <c r="A71" s="98">
        <v>70</v>
      </c>
      <c r="B71" s="99" t="s">
        <v>1331</v>
      </c>
      <c r="C71" s="100" t="s">
        <v>923</v>
      </c>
      <c r="D71" s="101">
        <v>1780</v>
      </c>
      <c r="E71" s="100" t="s">
        <v>1332</v>
      </c>
    </row>
    <row r="72" spans="1:5">
      <c r="A72" s="98">
        <v>71</v>
      </c>
      <c r="B72" s="99" t="s">
        <v>1333</v>
      </c>
      <c r="C72" s="100" t="s">
        <v>923</v>
      </c>
      <c r="D72" s="101">
        <v>995</v>
      </c>
      <c r="E72" s="100" t="s">
        <v>1334</v>
      </c>
    </row>
    <row r="73" spans="1:5">
      <c r="A73" s="98">
        <v>72</v>
      </c>
      <c r="B73" s="99" t="s">
        <v>1335</v>
      </c>
      <c r="C73" s="100" t="s">
        <v>923</v>
      </c>
      <c r="D73" s="101">
        <v>1430</v>
      </c>
      <c r="E73" s="100" t="s">
        <v>1336</v>
      </c>
    </row>
    <row r="74" spans="1:5">
      <c r="A74" s="98">
        <v>73</v>
      </c>
      <c r="B74" s="99" t="s">
        <v>1337</v>
      </c>
      <c r="C74" s="100" t="s">
        <v>923</v>
      </c>
      <c r="D74" s="101">
        <v>474</v>
      </c>
      <c r="E74" s="100" t="s">
        <v>1338</v>
      </c>
    </row>
    <row r="75" spans="1:5">
      <c r="A75" s="98">
        <v>74</v>
      </c>
      <c r="B75" s="99" t="s">
        <v>1339</v>
      </c>
      <c r="C75" s="100" t="s">
        <v>923</v>
      </c>
      <c r="D75" s="101">
        <v>543</v>
      </c>
      <c r="E75" s="100" t="s">
        <v>1340</v>
      </c>
    </row>
    <row r="76" spans="1:5">
      <c r="A76" s="98">
        <v>75</v>
      </c>
      <c r="B76" s="99" t="s">
        <v>1341</v>
      </c>
      <c r="C76" s="100" t="s">
        <v>923</v>
      </c>
      <c r="D76" s="101">
        <v>786</v>
      </c>
      <c r="E76" s="100" t="s">
        <v>1342</v>
      </c>
    </row>
    <row r="77" spans="1:5">
      <c r="A77" s="98">
        <v>76</v>
      </c>
      <c r="B77" s="99" t="s">
        <v>1343</v>
      </c>
      <c r="C77" s="100" t="s">
        <v>923</v>
      </c>
      <c r="D77" s="101">
        <v>443</v>
      </c>
      <c r="E77" s="100" t="s">
        <v>1344</v>
      </c>
    </row>
    <row r="78" spans="1:5">
      <c r="A78" s="98">
        <v>77</v>
      </c>
      <c r="B78" s="99" t="s">
        <v>1345</v>
      </c>
      <c r="C78" s="100" t="s">
        <v>923</v>
      </c>
      <c r="D78" s="101">
        <v>2811</v>
      </c>
      <c r="E78" s="100" t="s">
        <v>1346</v>
      </c>
    </row>
    <row r="79" spans="1:5">
      <c r="A79" s="98">
        <v>78</v>
      </c>
      <c r="B79" s="99" t="s">
        <v>1018</v>
      </c>
      <c r="C79" s="100" t="s">
        <v>923</v>
      </c>
      <c r="D79" s="101">
        <v>1801</v>
      </c>
      <c r="E79" s="100" t="s">
        <v>1347</v>
      </c>
    </row>
    <row r="80" spans="1:5">
      <c r="A80" s="98">
        <v>79</v>
      </c>
      <c r="B80" s="99" t="s">
        <v>1005</v>
      </c>
      <c r="C80" s="100" t="s">
        <v>923</v>
      </c>
      <c r="D80" s="101">
        <v>937</v>
      </c>
      <c r="E80" s="100" t="s">
        <v>1348</v>
      </c>
    </row>
    <row r="81" spans="1:5">
      <c r="A81" s="98">
        <v>80</v>
      </c>
      <c r="B81" s="99" t="s">
        <v>1349</v>
      </c>
      <c r="C81" s="100" t="s">
        <v>923</v>
      </c>
      <c r="D81" s="101">
        <v>1786</v>
      </c>
      <c r="E81" s="100" t="s">
        <v>1350</v>
      </c>
    </row>
    <row r="82" spans="1:5">
      <c r="A82" s="98">
        <v>81</v>
      </c>
      <c r="B82" s="99" t="s">
        <v>1351</v>
      </c>
      <c r="C82" s="100" t="s">
        <v>923</v>
      </c>
      <c r="D82" s="101">
        <v>738</v>
      </c>
      <c r="E82" s="100" t="s">
        <v>1352</v>
      </c>
    </row>
    <row r="83" spans="1:5">
      <c r="A83" s="98">
        <v>82</v>
      </c>
      <c r="B83" s="99" t="s">
        <v>1353</v>
      </c>
      <c r="C83" s="100" t="s">
        <v>923</v>
      </c>
      <c r="D83" s="101">
        <v>866</v>
      </c>
      <c r="E83" s="100" t="s">
        <v>1354</v>
      </c>
    </row>
    <row r="84" spans="1:5">
      <c r="A84" s="98">
        <v>83</v>
      </c>
      <c r="B84" s="99" t="s">
        <v>1355</v>
      </c>
      <c r="C84" s="100" t="s">
        <v>923</v>
      </c>
      <c r="D84" s="101">
        <v>997</v>
      </c>
      <c r="E84" s="100" t="s">
        <v>1356</v>
      </c>
    </row>
    <row r="85" spans="1:5">
      <c r="A85" s="98">
        <v>84</v>
      </c>
      <c r="B85" s="99" t="s">
        <v>1357</v>
      </c>
      <c r="C85" s="100" t="s">
        <v>923</v>
      </c>
      <c r="D85" s="101">
        <v>1599</v>
      </c>
      <c r="E85" s="100" t="s">
        <v>1358</v>
      </c>
    </row>
    <row r="86" spans="1:5">
      <c r="A86" s="98">
        <v>85</v>
      </c>
      <c r="B86" s="99" t="s">
        <v>1359</v>
      </c>
      <c r="C86" s="100" t="s">
        <v>923</v>
      </c>
      <c r="D86" s="101">
        <v>2134</v>
      </c>
      <c r="E86" s="100" t="s">
        <v>1029</v>
      </c>
    </row>
    <row r="87" spans="1:5">
      <c r="A87" s="98">
        <v>86</v>
      </c>
      <c r="B87" s="99" t="s">
        <v>1360</v>
      </c>
      <c r="C87" s="100" t="s">
        <v>923</v>
      </c>
      <c r="D87" s="101">
        <v>334</v>
      </c>
      <c r="E87" s="100"/>
    </row>
    <row r="88" spans="1:5">
      <c r="A88" s="98">
        <v>87</v>
      </c>
      <c r="B88" s="99" t="s">
        <v>1361</v>
      </c>
      <c r="C88" s="100" t="s">
        <v>923</v>
      </c>
      <c r="D88" s="101">
        <v>736</v>
      </c>
      <c r="E88" s="100" t="s">
        <v>1362</v>
      </c>
    </row>
    <row r="89" spans="1:5">
      <c r="A89" s="98">
        <v>88</v>
      </c>
      <c r="B89" s="99" t="s">
        <v>1363</v>
      </c>
      <c r="C89" s="100" t="s">
        <v>923</v>
      </c>
      <c r="D89" s="101">
        <v>1341</v>
      </c>
      <c r="E89" s="100"/>
    </row>
    <row r="90" spans="1:5">
      <c r="A90" s="98">
        <v>89</v>
      </c>
      <c r="B90" s="99" t="s">
        <v>1364</v>
      </c>
      <c r="C90" s="100" t="s">
        <v>923</v>
      </c>
      <c r="D90" s="101">
        <v>2422</v>
      </c>
      <c r="E90" s="100" t="s">
        <v>1365</v>
      </c>
    </row>
    <row r="91" spans="1:5">
      <c r="A91" s="98">
        <v>90</v>
      </c>
      <c r="B91" s="99" t="s">
        <v>1366</v>
      </c>
      <c r="C91" s="100" t="s">
        <v>923</v>
      </c>
      <c r="D91" s="101">
        <v>530</v>
      </c>
      <c r="E91" s="100" t="s">
        <v>1367</v>
      </c>
    </row>
    <row r="92" spans="1:5">
      <c r="A92" s="98">
        <v>91</v>
      </c>
      <c r="B92" s="99" t="s">
        <v>1368</v>
      </c>
      <c r="C92" s="100" t="s">
        <v>923</v>
      </c>
      <c r="D92" s="101">
        <v>2167</v>
      </c>
      <c r="E92" s="100" t="s">
        <v>1369</v>
      </c>
    </row>
    <row r="93" spans="1:5">
      <c r="A93" s="98">
        <v>92</v>
      </c>
      <c r="B93" s="99" t="s">
        <v>1370</v>
      </c>
      <c r="C93" s="100" t="s">
        <v>923</v>
      </c>
      <c r="D93" s="101">
        <v>2673</v>
      </c>
      <c r="E93" s="100" t="s">
        <v>1371</v>
      </c>
    </row>
    <row r="94" spans="1:5">
      <c r="A94" s="98">
        <v>93</v>
      </c>
      <c r="B94" s="99" t="s">
        <v>1372</v>
      </c>
      <c r="C94" s="100" t="s">
        <v>923</v>
      </c>
      <c r="D94" s="101">
        <v>1572</v>
      </c>
      <c r="E94" s="100" t="s">
        <v>1373</v>
      </c>
    </row>
    <row r="95" spans="1:5">
      <c r="A95" s="98">
        <v>94</v>
      </c>
      <c r="B95" s="99" t="s">
        <v>1374</v>
      </c>
      <c r="C95" s="100" t="s">
        <v>923</v>
      </c>
      <c r="D95" s="101">
        <v>510</v>
      </c>
      <c r="E95" s="100" t="s">
        <v>1375</v>
      </c>
    </row>
    <row r="96" spans="1:5">
      <c r="A96" s="98">
        <v>95</v>
      </c>
      <c r="B96" s="99" t="s">
        <v>1376</v>
      </c>
      <c r="C96" s="100" t="s">
        <v>923</v>
      </c>
      <c r="D96" s="101">
        <v>1062</v>
      </c>
      <c r="E96" s="100" t="s">
        <v>1377</v>
      </c>
    </row>
    <row r="97" spans="1:5">
      <c r="A97" s="98">
        <v>96</v>
      </c>
      <c r="B97" s="99" t="s">
        <v>1378</v>
      </c>
      <c r="C97" s="100" t="s">
        <v>923</v>
      </c>
      <c r="D97" s="101">
        <v>945</v>
      </c>
      <c r="E97" s="100" t="s">
        <v>1379</v>
      </c>
    </row>
    <row r="98" spans="1:5">
      <c r="A98" s="98">
        <v>97</v>
      </c>
      <c r="B98" s="99" t="s">
        <v>1380</v>
      </c>
      <c r="C98" s="100" t="s">
        <v>923</v>
      </c>
      <c r="D98" s="101">
        <v>1369</v>
      </c>
      <c r="E98" s="100" t="s">
        <v>1381</v>
      </c>
    </row>
    <row r="99" spans="1:5">
      <c r="A99" s="98">
        <v>98</v>
      </c>
      <c r="B99" s="99" t="s">
        <v>1382</v>
      </c>
      <c r="C99" s="100" t="s">
        <v>923</v>
      </c>
      <c r="D99" s="101">
        <v>1387</v>
      </c>
      <c r="E99" s="100"/>
    </row>
    <row r="100" spans="1:5">
      <c r="A100" s="98">
        <v>99</v>
      </c>
      <c r="B100" s="100" t="s">
        <v>1383</v>
      </c>
      <c r="C100" s="100" t="s">
        <v>1384</v>
      </c>
      <c r="D100" s="101">
        <v>341</v>
      </c>
      <c r="E100" s="100"/>
    </row>
    <row r="101" spans="1:5">
      <c r="A101" s="98">
        <v>100</v>
      </c>
      <c r="B101" s="100" t="s">
        <v>1385</v>
      </c>
      <c r="C101" s="100" t="s">
        <v>1384</v>
      </c>
      <c r="D101" s="101">
        <v>341</v>
      </c>
      <c r="E101" s="100"/>
    </row>
    <row r="102" spans="1:5">
      <c r="A102" s="98">
        <v>101</v>
      </c>
      <c r="B102" s="100" t="s">
        <v>1386</v>
      </c>
      <c r="C102" s="100" t="s">
        <v>1384</v>
      </c>
      <c r="D102" s="101">
        <v>466</v>
      </c>
      <c r="E102" s="100"/>
    </row>
    <row r="103" spans="1:5">
      <c r="A103" s="98">
        <v>102</v>
      </c>
      <c r="B103" s="100" t="s">
        <v>1387</v>
      </c>
      <c r="C103" s="100" t="s">
        <v>1384</v>
      </c>
      <c r="D103" s="101">
        <v>345</v>
      </c>
      <c r="E103" s="100"/>
    </row>
    <row r="104" spans="1:5">
      <c r="A104" s="98">
        <v>103</v>
      </c>
      <c r="B104" s="100" t="s">
        <v>1388</v>
      </c>
      <c r="C104" s="100" t="s">
        <v>1384</v>
      </c>
      <c r="D104" s="101">
        <v>352</v>
      </c>
      <c r="E104" s="100"/>
    </row>
    <row r="105" spans="1:5">
      <c r="A105" s="98">
        <v>104</v>
      </c>
      <c r="B105" s="100" t="s">
        <v>1389</v>
      </c>
      <c r="C105" s="100" t="s">
        <v>1384</v>
      </c>
      <c r="D105" s="101">
        <v>351</v>
      </c>
      <c r="E105" s="100"/>
    </row>
    <row r="106" spans="1:5">
      <c r="A106" s="98">
        <v>105</v>
      </c>
      <c r="B106" s="100" t="s">
        <v>1390</v>
      </c>
      <c r="C106" s="100" t="s">
        <v>1384</v>
      </c>
      <c r="D106" s="101">
        <v>345</v>
      </c>
      <c r="E106" s="100"/>
    </row>
    <row r="107" spans="1:5">
      <c r="A107" s="98">
        <v>106</v>
      </c>
      <c r="B107" s="100" t="s">
        <v>1391</v>
      </c>
      <c r="C107" s="100" t="s">
        <v>1384</v>
      </c>
      <c r="D107" s="101">
        <v>346</v>
      </c>
      <c r="E107" s="100"/>
    </row>
    <row r="108" spans="1:5">
      <c r="A108" s="98">
        <v>107</v>
      </c>
      <c r="B108" s="100" t="s">
        <v>1392</v>
      </c>
      <c r="C108" s="100" t="s">
        <v>1384</v>
      </c>
      <c r="D108" s="101">
        <v>373</v>
      </c>
      <c r="E108" s="100"/>
    </row>
    <row r="109" spans="1:5">
      <c r="A109" s="98">
        <v>108</v>
      </c>
      <c r="B109" s="100" t="s">
        <v>1393</v>
      </c>
      <c r="C109" s="100" t="s">
        <v>1384</v>
      </c>
      <c r="D109" s="101">
        <v>3555</v>
      </c>
      <c r="E109" s="100"/>
    </row>
    <row r="110" spans="1:5">
      <c r="A110" s="98">
        <v>109</v>
      </c>
      <c r="B110" s="100" t="s">
        <v>1394</v>
      </c>
      <c r="C110" s="100" t="s">
        <v>1384</v>
      </c>
      <c r="D110" s="101">
        <v>926</v>
      </c>
      <c r="E110" s="100"/>
    </row>
    <row r="111" spans="1:5">
      <c r="A111" s="98">
        <v>110</v>
      </c>
      <c r="B111" s="100" t="s">
        <v>1395</v>
      </c>
      <c r="C111" s="100" t="s">
        <v>1384</v>
      </c>
      <c r="D111" s="101">
        <v>868</v>
      </c>
      <c r="E111" s="100"/>
    </row>
    <row r="112" spans="1:5">
      <c r="A112" s="98">
        <v>111</v>
      </c>
      <c r="B112" s="100" t="s">
        <v>1396</v>
      </c>
      <c r="C112" s="100" t="s">
        <v>1384</v>
      </c>
      <c r="D112" s="101">
        <v>590</v>
      </c>
      <c r="E112" s="100"/>
    </row>
    <row r="113" spans="1:5">
      <c r="A113" s="98">
        <v>112</v>
      </c>
      <c r="B113" s="100" t="s">
        <v>1397</v>
      </c>
      <c r="C113" s="100" t="s">
        <v>1384</v>
      </c>
      <c r="D113" s="101">
        <v>1187</v>
      </c>
      <c r="E113" s="100"/>
    </row>
    <row r="114" spans="1:5">
      <c r="A114" s="98">
        <v>113</v>
      </c>
      <c r="B114" s="100" t="s">
        <v>1398</v>
      </c>
      <c r="C114" s="100" t="s">
        <v>1384</v>
      </c>
      <c r="D114" s="101">
        <v>337</v>
      </c>
      <c r="E114" s="100"/>
    </row>
    <row r="115" spans="1:5">
      <c r="A115" s="98">
        <v>114</v>
      </c>
      <c r="B115" s="100" t="s">
        <v>1399</v>
      </c>
      <c r="C115" s="100" t="s">
        <v>1384</v>
      </c>
      <c r="D115" s="101">
        <v>549</v>
      </c>
      <c r="E115" s="100"/>
    </row>
    <row r="116" spans="1:5">
      <c r="A116" s="98">
        <v>115</v>
      </c>
      <c r="B116" s="100" t="s">
        <v>1400</v>
      </c>
      <c r="C116" s="100" t="s">
        <v>1384</v>
      </c>
      <c r="D116" s="101">
        <v>410</v>
      </c>
      <c r="E116" s="100"/>
    </row>
    <row r="117" spans="1:5">
      <c r="A117" s="98">
        <v>116</v>
      </c>
      <c r="B117" s="230" t="s">
        <v>1401</v>
      </c>
      <c r="C117" s="230" t="s">
        <v>1384</v>
      </c>
      <c r="D117" s="231">
        <v>4</v>
      </c>
      <c r="E117" s="230" t="s">
        <v>1214</v>
      </c>
    </row>
    <row r="118" spans="1:5">
      <c r="A118" s="98">
        <v>117</v>
      </c>
      <c r="B118" s="100" t="s">
        <v>1402</v>
      </c>
      <c r="C118" s="100" t="s">
        <v>1384</v>
      </c>
      <c r="D118" s="101">
        <v>355</v>
      </c>
      <c r="E118" s="100"/>
    </row>
    <row r="119" spans="1:5">
      <c r="A119" s="232">
        <v>118</v>
      </c>
      <c r="B119" s="230" t="s">
        <v>1403</v>
      </c>
      <c r="C119" s="230" t="s">
        <v>1384</v>
      </c>
      <c r="D119" s="231">
        <v>347</v>
      </c>
      <c r="E119" s="230" t="s">
        <v>1214</v>
      </c>
    </row>
    <row r="120" spans="1:5">
      <c r="A120" s="98">
        <v>119</v>
      </c>
      <c r="B120" s="100" t="s">
        <v>1404</v>
      </c>
      <c r="C120" s="100" t="s">
        <v>1384</v>
      </c>
      <c r="D120" s="101">
        <v>344</v>
      </c>
      <c r="E120" s="100"/>
    </row>
    <row r="121" spans="1:5">
      <c r="A121" s="98">
        <v>120</v>
      </c>
      <c r="B121" s="100" t="s">
        <v>1405</v>
      </c>
      <c r="C121" s="100" t="s">
        <v>1384</v>
      </c>
      <c r="D121" s="101">
        <v>354</v>
      </c>
      <c r="E121" s="100"/>
    </row>
    <row r="122" spans="1:5">
      <c r="A122" s="98">
        <v>121</v>
      </c>
      <c r="B122" s="100" t="s">
        <v>1406</v>
      </c>
      <c r="C122" s="100" t="s">
        <v>1384</v>
      </c>
      <c r="D122" s="101">
        <v>1299</v>
      </c>
      <c r="E122" s="100"/>
    </row>
    <row r="123" spans="1:5">
      <c r="A123" s="98">
        <v>122</v>
      </c>
      <c r="B123" s="100" t="s">
        <v>1407</v>
      </c>
      <c r="C123" s="100" t="s">
        <v>1384</v>
      </c>
      <c r="D123" s="101">
        <v>260</v>
      </c>
      <c r="E123" s="100"/>
    </row>
    <row r="124" spans="1:5">
      <c r="A124" s="98">
        <v>123</v>
      </c>
      <c r="B124" s="100" t="s">
        <v>1408</v>
      </c>
      <c r="C124" s="100" t="s">
        <v>1384</v>
      </c>
      <c r="D124" s="101">
        <v>426</v>
      </c>
      <c r="E124" s="100"/>
    </row>
    <row r="125" spans="1:5">
      <c r="A125" s="98">
        <v>124</v>
      </c>
      <c r="B125" s="100" t="s">
        <v>1409</v>
      </c>
      <c r="C125" s="100" t="s">
        <v>1384</v>
      </c>
      <c r="D125" s="101">
        <v>361</v>
      </c>
      <c r="E125" s="100"/>
    </row>
    <row r="126" spans="1:5">
      <c r="A126" s="98">
        <v>125</v>
      </c>
      <c r="B126" s="100" t="s">
        <v>1410</v>
      </c>
      <c r="C126" s="100" t="s">
        <v>1384</v>
      </c>
      <c r="D126" s="101">
        <v>913</v>
      </c>
      <c r="E126" s="100"/>
    </row>
    <row r="127" spans="1:5">
      <c r="A127" s="98">
        <v>126</v>
      </c>
      <c r="B127" s="100" t="s">
        <v>1411</v>
      </c>
      <c r="C127" s="100" t="s">
        <v>1384</v>
      </c>
      <c r="D127" s="101">
        <v>1293</v>
      </c>
      <c r="E127" s="100"/>
    </row>
    <row r="128" spans="1:5">
      <c r="A128" s="98">
        <v>127</v>
      </c>
      <c r="B128" s="100" t="s">
        <v>1412</v>
      </c>
      <c r="C128" s="100" t="s">
        <v>1384</v>
      </c>
      <c r="D128" s="101">
        <v>345</v>
      </c>
      <c r="E128" s="100"/>
    </row>
    <row r="129" spans="1:5">
      <c r="A129" s="98">
        <v>128</v>
      </c>
      <c r="B129" s="100" t="s">
        <v>1413</v>
      </c>
      <c r="C129" s="100" t="s">
        <v>1384</v>
      </c>
      <c r="D129" s="101">
        <v>517</v>
      </c>
      <c r="E129" s="100"/>
    </row>
    <row r="130" spans="1:5">
      <c r="A130" s="98">
        <v>129</v>
      </c>
      <c r="B130" s="100" t="s">
        <v>1414</v>
      </c>
      <c r="C130" s="100" t="s">
        <v>1384</v>
      </c>
      <c r="D130" s="101">
        <v>441</v>
      </c>
      <c r="E130" s="100"/>
    </row>
    <row r="131" spans="1:5">
      <c r="A131" s="98">
        <v>130</v>
      </c>
      <c r="B131" s="100" t="s">
        <v>1415</v>
      </c>
      <c r="C131" s="100" t="s">
        <v>1384</v>
      </c>
      <c r="D131" s="101">
        <v>686</v>
      </c>
      <c r="E131" s="100"/>
    </row>
    <row r="132" spans="1:5">
      <c r="A132" s="98">
        <v>131</v>
      </c>
      <c r="B132" s="100" t="s">
        <v>1416</v>
      </c>
      <c r="C132" s="100" t="s">
        <v>1384</v>
      </c>
      <c r="D132" s="101">
        <v>332</v>
      </c>
      <c r="E132" s="100"/>
    </row>
    <row r="133" spans="1:5">
      <c r="A133" s="98">
        <v>132</v>
      </c>
      <c r="B133" s="100" t="s">
        <v>1417</v>
      </c>
      <c r="C133" s="100" t="s">
        <v>1384</v>
      </c>
      <c r="D133" s="101">
        <v>794</v>
      </c>
      <c r="E133" s="100"/>
    </row>
    <row r="134" spans="1:5">
      <c r="A134" s="98">
        <v>133</v>
      </c>
      <c r="B134" s="100" t="s">
        <v>1418</v>
      </c>
      <c r="C134" s="100" t="s">
        <v>1384</v>
      </c>
      <c r="D134" s="101">
        <v>1476</v>
      </c>
      <c r="E134" s="100"/>
    </row>
    <row r="135" spans="1:5">
      <c r="A135" s="98">
        <v>134</v>
      </c>
      <c r="B135" s="100" t="s">
        <v>1419</v>
      </c>
      <c r="C135" s="100" t="s">
        <v>1384</v>
      </c>
      <c r="D135" s="101">
        <v>1418</v>
      </c>
      <c r="E135" s="100"/>
    </row>
    <row r="136" spans="1:5">
      <c r="A136" s="98">
        <v>135</v>
      </c>
      <c r="B136" s="100" t="s">
        <v>1420</v>
      </c>
      <c r="C136" s="100" t="s">
        <v>1384</v>
      </c>
      <c r="D136" s="101">
        <v>1919</v>
      </c>
      <c r="E136" s="100"/>
    </row>
    <row r="137" spans="1:5">
      <c r="A137" s="98">
        <v>136</v>
      </c>
      <c r="B137" s="100" t="s">
        <v>1421</v>
      </c>
      <c r="C137" s="100" t="s">
        <v>1384</v>
      </c>
      <c r="D137" s="101">
        <v>1023</v>
      </c>
      <c r="E137" s="100"/>
    </row>
    <row r="138" spans="1:5">
      <c r="A138" s="98">
        <v>137</v>
      </c>
      <c r="B138" s="100" t="s">
        <v>1422</v>
      </c>
      <c r="C138" s="100" t="s">
        <v>1384</v>
      </c>
      <c r="D138" s="101">
        <v>609</v>
      </c>
      <c r="E138" s="100"/>
    </row>
    <row r="139" spans="1:5">
      <c r="A139" s="98">
        <v>138</v>
      </c>
      <c r="B139" s="100" t="s">
        <v>1423</v>
      </c>
      <c r="C139" s="100" t="s">
        <v>1384</v>
      </c>
      <c r="D139" s="101">
        <v>3152</v>
      </c>
      <c r="E139" s="100"/>
    </row>
    <row r="140" spans="1:5">
      <c r="A140" s="98">
        <v>139</v>
      </c>
      <c r="B140" s="100" t="s">
        <v>1424</v>
      </c>
      <c r="C140" s="100" t="s">
        <v>1384</v>
      </c>
      <c r="D140" s="101">
        <v>2385</v>
      </c>
      <c r="E140" s="100"/>
    </row>
    <row r="141" spans="1:5">
      <c r="A141" s="98">
        <v>140</v>
      </c>
      <c r="B141" s="100" t="s">
        <v>1425</v>
      </c>
      <c r="C141" s="100" t="s">
        <v>1384</v>
      </c>
      <c r="D141" s="101">
        <v>344</v>
      </c>
      <c r="E141" s="100"/>
    </row>
    <row r="142" spans="1:5">
      <c r="A142" s="98">
        <v>141</v>
      </c>
      <c r="B142" s="100" t="s">
        <v>1426</v>
      </c>
      <c r="C142" s="100" t="s">
        <v>1384</v>
      </c>
      <c r="D142" s="101">
        <v>459</v>
      </c>
      <c r="E142" s="100"/>
    </row>
    <row r="143" spans="1:5">
      <c r="A143" s="98">
        <v>142</v>
      </c>
      <c r="B143" s="100" t="s">
        <v>1427</v>
      </c>
      <c r="C143" s="100" t="s">
        <v>1384</v>
      </c>
      <c r="D143" s="101">
        <v>348</v>
      </c>
      <c r="E143" s="100"/>
    </row>
    <row r="144" spans="1:5">
      <c r="A144" s="98">
        <v>143</v>
      </c>
      <c r="B144" s="100" t="s">
        <v>1428</v>
      </c>
      <c r="C144" s="100" t="s">
        <v>1384</v>
      </c>
      <c r="D144" s="101">
        <v>674</v>
      </c>
      <c r="E144" s="100"/>
    </row>
    <row r="145" spans="1:5">
      <c r="A145" s="98">
        <v>144</v>
      </c>
      <c r="B145" s="100" t="s">
        <v>1429</v>
      </c>
      <c r="C145" s="100" t="s">
        <v>1384</v>
      </c>
      <c r="D145" s="101">
        <v>341</v>
      </c>
      <c r="E145" s="100"/>
    </row>
    <row r="146" spans="1:5">
      <c r="A146" s="98">
        <v>145</v>
      </c>
      <c r="B146" s="100" t="s">
        <v>1430</v>
      </c>
      <c r="C146" s="100" t="s">
        <v>1384</v>
      </c>
      <c r="D146" s="101">
        <v>356</v>
      </c>
      <c r="E146" s="100"/>
    </row>
    <row r="147" spans="1:5">
      <c r="A147" s="98">
        <v>146</v>
      </c>
      <c r="B147" s="100" t="s">
        <v>1431</v>
      </c>
      <c r="C147" s="100" t="s">
        <v>1384</v>
      </c>
      <c r="D147" s="101">
        <v>341</v>
      </c>
      <c r="E147" s="100"/>
    </row>
    <row r="148" spans="1:5">
      <c r="A148" s="98">
        <v>147</v>
      </c>
      <c r="B148" s="230" t="s">
        <v>1432</v>
      </c>
      <c r="C148" s="230" t="s">
        <v>1384</v>
      </c>
      <c r="D148" s="231">
        <v>458</v>
      </c>
      <c r="E148" s="230" t="s">
        <v>1214</v>
      </c>
    </row>
    <row r="149" spans="1:5">
      <c r="A149" s="98">
        <v>148</v>
      </c>
      <c r="B149" s="100" t="s">
        <v>1433</v>
      </c>
      <c r="C149" s="100" t="s">
        <v>1384</v>
      </c>
      <c r="D149" s="101">
        <v>317</v>
      </c>
      <c r="E149" s="100"/>
    </row>
    <row r="150" spans="1:5">
      <c r="A150" s="98">
        <v>149</v>
      </c>
      <c r="B150" s="100" t="s">
        <v>1434</v>
      </c>
      <c r="C150" s="100" t="s">
        <v>1384</v>
      </c>
      <c r="D150" s="101">
        <v>1303</v>
      </c>
      <c r="E150" s="100"/>
    </row>
    <row r="151" spans="1:5">
      <c r="A151" s="98">
        <v>150</v>
      </c>
      <c r="B151" s="230" t="s">
        <v>1435</v>
      </c>
      <c r="C151" s="230" t="s">
        <v>1384</v>
      </c>
      <c r="D151" s="231">
        <v>337</v>
      </c>
      <c r="E151" s="230" t="s">
        <v>1214</v>
      </c>
    </row>
    <row r="152" spans="1:5">
      <c r="A152" s="98">
        <v>151</v>
      </c>
      <c r="B152" s="230" t="s">
        <v>1436</v>
      </c>
      <c r="C152" s="230" t="s">
        <v>1384</v>
      </c>
      <c r="D152" s="231">
        <v>304</v>
      </c>
      <c r="E152" s="230" t="s">
        <v>1214</v>
      </c>
    </row>
    <row r="153" spans="1:5">
      <c r="A153" s="98">
        <v>152</v>
      </c>
      <c r="B153" s="230" t="s">
        <v>1437</v>
      </c>
      <c r="C153" s="230" t="s">
        <v>1384</v>
      </c>
      <c r="D153" s="231">
        <v>341</v>
      </c>
      <c r="E153" s="230" t="s">
        <v>1214</v>
      </c>
    </row>
    <row r="154" spans="1:5">
      <c r="A154" s="98">
        <v>153</v>
      </c>
      <c r="B154" s="230" t="s">
        <v>1438</v>
      </c>
      <c r="C154" s="230" t="s">
        <v>1384</v>
      </c>
      <c r="D154" s="231">
        <v>341</v>
      </c>
      <c r="E154" s="230" t="s">
        <v>1214</v>
      </c>
    </row>
    <row r="155" spans="1:5">
      <c r="A155" s="98">
        <v>154</v>
      </c>
      <c r="B155" s="230" t="s">
        <v>1439</v>
      </c>
      <c r="C155" s="230" t="s">
        <v>1384</v>
      </c>
      <c r="D155" s="231">
        <v>346</v>
      </c>
      <c r="E155" s="230" t="s">
        <v>1214</v>
      </c>
    </row>
    <row r="156" spans="1:5">
      <c r="A156" s="98">
        <v>155</v>
      </c>
      <c r="B156" s="100" t="s">
        <v>1440</v>
      </c>
      <c r="C156" s="100" t="s">
        <v>1384</v>
      </c>
      <c r="D156" s="101">
        <v>671</v>
      </c>
      <c r="E156" s="100"/>
    </row>
    <row r="157" spans="1:5">
      <c r="A157" s="98">
        <v>156</v>
      </c>
      <c r="B157" s="100" t="s">
        <v>1441</v>
      </c>
      <c r="C157" s="100" t="s">
        <v>1384</v>
      </c>
      <c r="D157" s="101">
        <v>433</v>
      </c>
      <c r="E157" s="100"/>
    </row>
    <row r="158" spans="1:5">
      <c r="A158" s="98">
        <v>157</v>
      </c>
      <c r="B158" s="100" t="s">
        <v>1442</v>
      </c>
      <c r="C158" s="100" t="s">
        <v>1384</v>
      </c>
      <c r="D158" s="101">
        <v>282</v>
      </c>
      <c r="E158" s="100"/>
    </row>
    <row r="159" spans="1:5">
      <c r="A159" s="98">
        <v>158</v>
      </c>
      <c r="B159" s="100" t="s">
        <v>1443</v>
      </c>
      <c r="C159" s="100" t="s">
        <v>1384</v>
      </c>
      <c r="D159" s="101">
        <v>366</v>
      </c>
      <c r="E159" s="100"/>
    </row>
    <row r="160" spans="1:5">
      <c r="A160" s="98">
        <v>159</v>
      </c>
      <c r="B160" s="100" t="s">
        <v>1444</v>
      </c>
      <c r="C160" s="100" t="s">
        <v>1384</v>
      </c>
      <c r="D160" s="101">
        <v>359</v>
      </c>
      <c r="E160" s="100"/>
    </row>
    <row r="161" spans="1:5">
      <c r="A161" s="98">
        <v>160</v>
      </c>
      <c r="B161" s="100" t="s">
        <v>1445</v>
      </c>
      <c r="C161" s="100" t="s">
        <v>1384</v>
      </c>
      <c r="D161" s="101">
        <v>700</v>
      </c>
      <c r="E161" s="100"/>
    </row>
    <row r="162" spans="1:5">
      <c r="A162" s="98">
        <v>161</v>
      </c>
      <c r="B162" s="100" t="s">
        <v>1446</v>
      </c>
      <c r="C162" s="100" t="s">
        <v>1384</v>
      </c>
      <c r="D162" s="101">
        <v>361</v>
      </c>
      <c r="E162" s="100"/>
    </row>
    <row r="163" spans="1:5">
      <c r="A163" s="98">
        <v>162</v>
      </c>
      <c r="B163" s="100" t="s">
        <v>1447</v>
      </c>
      <c r="C163" s="100" t="s">
        <v>1384</v>
      </c>
      <c r="D163" s="101">
        <v>341</v>
      </c>
      <c r="E163" s="100"/>
    </row>
    <row r="164" spans="1:5">
      <c r="A164" s="98">
        <v>163</v>
      </c>
      <c r="B164" s="100" t="s">
        <v>1448</v>
      </c>
      <c r="C164" s="100" t="s">
        <v>1384</v>
      </c>
      <c r="D164" s="101">
        <v>471</v>
      </c>
      <c r="E164" s="100"/>
    </row>
    <row r="165" spans="1:5">
      <c r="A165" s="98">
        <v>164</v>
      </c>
      <c r="B165" s="100" t="s">
        <v>1449</v>
      </c>
      <c r="C165" s="100" t="s">
        <v>1384</v>
      </c>
      <c r="D165" s="101">
        <v>312</v>
      </c>
      <c r="E165" s="100"/>
    </row>
    <row r="166" spans="1:5">
      <c r="A166" s="98">
        <v>165</v>
      </c>
      <c r="B166" s="100" t="s">
        <v>1450</v>
      </c>
      <c r="C166" s="100" t="s">
        <v>1384</v>
      </c>
      <c r="D166" s="101">
        <v>349</v>
      </c>
      <c r="E166" s="100"/>
    </row>
    <row r="167" spans="1:5">
      <c r="A167" s="98">
        <v>166</v>
      </c>
      <c r="B167" s="100" t="s">
        <v>1451</v>
      </c>
      <c r="C167" s="100" t="s">
        <v>1384</v>
      </c>
      <c r="D167" s="101">
        <v>341</v>
      </c>
      <c r="E167" s="100"/>
    </row>
    <row r="168" spans="1:5">
      <c r="A168" s="98">
        <v>167</v>
      </c>
      <c r="B168" s="100" t="s">
        <v>1452</v>
      </c>
      <c r="C168" s="100" t="s">
        <v>1384</v>
      </c>
      <c r="D168" s="101">
        <v>425</v>
      </c>
      <c r="E168" s="100"/>
    </row>
    <row r="169" spans="1:5">
      <c r="A169" s="98">
        <v>168</v>
      </c>
      <c r="B169" s="100" t="s">
        <v>1453</v>
      </c>
      <c r="C169" s="100" t="s">
        <v>1384</v>
      </c>
      <c r="D169" s="101">
        <v>353</v>
      </c>
      <c r="E169" s="100"/>
    </row>
    <row r="170" spans="1:5">
      <c r="A170" s="98">
        <v>169</v>
      </c>
      <c r="B170" s="100" t="s">
        <v>1454</v>
      </c>
      <c r="C170" s="100" t="s">
        <v>1384</v>
      </c>
      <c r="D170" s="101">
        <v>880</v>
      </c>
      <c r="E170" s="100"/>
    </row>
    <row r="171" spans="1:5">
      <c r="A171" s="98">
        <v>170</v>
      </c>
      <c r="B171" s="100" t="s">
        <v>1455</v>
      </c>
      <c r="C171" s="100" t="s">
        <v>1384</v>
      </c>
      <c r="D171" s="101">
        <v>418</v>
      </c>
      <c r="E171" s="100"/>
    </row>
    <row r="172" spans="1:5">
      <c r="A172" s="98">
        <v>171</v>
      </c>
      <c r="B172" s="100" t="s">
        <v>1456</v>
      </c>
      <c r="C172" s="100" t="s">
        <v>1384</v>
      </c>
      <c r="D172" s="101">
        <v>418</v>
      </c>
      <c r="E172" s="100"/>
    </row>
    <row r="173" spans="1:5">
      <c r="A173" s="98">
        <v>172</v>
      </c>
      <c r="B173" s="100" t="s">
        <v>1457</v>
      </c>
      <c r="C173" s="100" t="s">
        <v>1384</v>
      </c>
      <c r="D173" s="101">
        <v>181</v>
      </c>
      <c r="E173" s="100"/>
    </row>
    <row r="174" spans="1:5">
      <c r="A174" s="98">
        <v>173</v>
      </c>
      <c r="B174" s="100" t="s">
        <v>1458</v>
      </c>
      <c r="C174" s="100" t="s">
        <v>1384</v>
      </c>
      <c r="D174" s="101">
        <v>2904</v>
      </c>
      <c r="E174" s="100"/>
    </row>
    <row r="175" spans="1:5">
      <c r="A175" s="98">
        <v>174</v>
      </c>
      <c r="B175" s="100" t="s">
        <v>1459</v>
      </c>
      <c r="C175" s="100" t="s">
        <v>1384</v>
      </c>
      <c r="D175" s="101">
        <v>1867</v>
      </c>
      <c r="E175" s="100"/>
    </row>
    <row r="176" spans="1:5">
      <c r="A176" s="98">
        <v>175</v>
      </c>
      <c r="B176" s="100" t="s">
        <v>1460</v>
      </c>
      <c r="C176" s="100" t="s">
        <v>1384</v>
      </c>
      <c r="D176" s="101">
        <v>1988</v>
      </c>
      <c r="E176" s="100"/>
    </row>
    <row r="177" spans="1:5">
      <c r="A177" s="98">
        <v>176</v>
      </c>
      <c r="B177" s="100" t="s">
        <v>1461</v>
      </c>
      <c r="C177" s="100" t="s">
        <v>1384</v>
      </c>
      <c r="D177" s="101">
        <v>1176</v>
      </c>
      <c r="E177" s="100"/>
    </row>
    <row r="178" spans="1:5">
      <c r="A178" s="98">
        <v>177</v>
      </c>
      <c r="B178" s="100" t="s">
        <v>1462</v>
      </c>
      <c r="C178" s="100" t="s">
        <v>1384</v>
      </c>
      <c r="D178" s="101">
        <v>908</v>
      </c>
      <c r="E178" s="100"/>
    </row>
    <row r="179" spans="1:5">
      <c r="A179" s="98">
        <v>178</v>
      </c>
      <c r="B179" s="100" t="s">
        <v>1463</v>
      </c>
      <c r="C179" s="100" t="s">
        <v>1384</v>
      </c>
      <c r="D179" s="101">
        <v>4331</v>
      </c>
      <c r="E179" s="100"/>
    </row>
    <row r="180" spans="1:5">
      <c r="A180" s="98">
        <v>179</v>
      </c>
      <c r="B180" s="100" t="s">
        <v>1464</v>
      </c>
      <c r="C180" s="100" t="s">
        <v>1384</v>
      </c>
      <c r="D180" s="101">
        <v>490</v>
      </c>
      <c r="E180" s="100"/>
    </row>
    <row r="181" spans="1:5">
      <c r="A181" s="98">
        <v>180</v>
      </c>
      <c r="B181" s="100" t="s">
        <v>1465</v>
      </c>
      <c r="C181" s="100" t="s">
        <v>1384</v>
      </c>
      <c r="D181" s="101">
        <v>3120</v>
      </c>
      <c r="E181" s="100"/>
    </row>
    <row r="182" spans="1:5">
      <c r="A182" s="98">
        <v>181</v>
      </c>
      <c r="B182" s="100" t="s">
        <v>1466</v>
      </c>
      <c r="C182" s="100" t="s">
        <v>1384</v>
      </c>
      <c r="D182" s="101">
        <v>2592</v>
      </c>
      <c r="E182" s="100"/>
    </row>
    <row r="183" spans="1:5">
      <c r="A183" s="98">
        <v>182</v>
      </c>
      <c r="B183" s="100" t="s">
        <v>1467</v>
      </c>
      <c r="C183" s="100" t="s">
        <v>1384</v>
      </c>
      <c r="D183" s="101">
        <v>1910</v>
      </c>
      <c r="E183" s="100"/>
    </row>
    <row r="184" spans="1:5">
      <c r="A184" s="98">
        <v>183</v>
      </c>
      <c r="B184" s="100" t="s">
        <v>1023</v>
      </c>
      <c r="C184" s="100" t="s">
        <v>1384</v>
      </c>
      <c r="D184" s="101">
        <v>26277</v>
      </c>
      <c r="E184" s="100"/>
    </row>
    <row r="185" spans="1:5">
      <c r="A185" s="98">
        <v>184</v>
      </c>
      <c r="B185" s="100" t="s">
        <v>1468</v>
      </c>
      <c r="C185" s="100" t="s">
        <v>1384</v>
      </c>
      <c r="D185" s="101">
        <v>2677</v>
      </c>
      <c r="E185" s="100"/>
    </row>
    <row r="186" spans="1:5">
      <c r="A186" s="98">
        <v>185</v>
      </c>
      <c r="B186" s="100" t="s">
        <v>1469</v>
      </c>
      <c r="C186" s="100" t="s">
        <v>1384</v>
      </c>
      <c r="D186" s="101"/>
      <c r="E186" s="100"/>
    </row>
    <row r="187" spans="1:5">
      <c r="A187" s="98">
        <v>186</v>
      </c>
      <c r="B187" s="100" t="s">
        <v>1470</v>
      </c>
      <c r="C187" s="100" t="s">
        <v>1384</v>
      </c>
      <c r="D187" s="101"/>
      <c r="E187" s="100"/>
    </row>
    <row r="188" spans="1:5">
      <c r="A188" s="98">
        <v>187</v>
      </c>
      <c r="B188" s="100" t="s">
        <v>1471</v>
      </c>
      <c r="C188" s="100" t="s">
        <v>1384</v>
      </c>
      <c r="D188" s="101"/>
      <c r="E188" s="100"/>
    </row>
    <row r="189" spans="1:5">
      <c r="A189" s="232">
        <v>188</v>
      </c>
      <c r="B189" s="230" t="s">
        <v>1472</v>
      </c>
      <c r="C189" s="230" t="s">
        <v>1384</v>
      </c>
      <c r="D189" s="231"/>
      <c r="E189" s="230" t="s">
        <v>1214</v>
      </c>
    </row>
    <row r="190" spans="1:5">
      <c r="A190" s="232">
        <v>189</v>
      </c>
      <c r="B190" s="230" t="s">
        <v>1473</v>
      </c>
      <c r="C190" s="230" t="s">
        <v>1384</v>
      </c>
      <c r="D190" s="231"/>
      <c r="E190" s="230" t="s">
        <v>1214</v>
      </c>
    </row>
    <row r="191" spans="1:5">
      <c r="A191" s="98">
        <v>190</v>
      </c>
      <c r="B191" s="100" t="s">
        <v>1474</v>
      </c>
      <c r="C191" s="100" t="s">
        <v>1384</v>
      </c>
      <c r="D191" s="101"/>
      <c r="E191" s="100"/>
    </row>
    <row r="192" spans="1:5">
      <c r="A192" s="98">
        <v>191</v>
      </c>
      <c r="B192" s="100" t="s">
        <v>1475</v>
      </c>
      <c r="C192" s="100" t="s">
        <v>1384</v>
      </c>
      <c r="D192" s="101"/>
      <c r="E192" s="100"/>
    </row>
    <row r="193" spans="1:5">
      <c r="A193" s="98">
        <v>192</v>
      </c>
      <c r="B193" s="100" t="s">
        <v>1476</v>
      </c>
      <c r="C193" s="100" t="s">
        <v>1384</v>
      </c>
      <c r="D193" s="101"/>
      <c r="E193" s="100"/>
    </row>
    <row r="194" spans="1:5">
      <c r="A194" s="98">
        <v>193</v>
      </c>
      <c r="B194" s="100" t="s">
        <v>1477</v>
      </c>
      <c r="C194" s="100" t="s">
        <v>1384</v>
      </c>
      <c r="D194" s="101"/>
      <c r="E194" s="100"/>
    </row>
    <row r="195" spans="1:5">
      <c r="A195" s="102"/>
      <c r="D195" s="102"/>
    </row>
  </sheetData>
  <mergeCells count="1">
    <mergeCell ref="G2:R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7C23-1BD0-4CB7-846F-8C6B3968D5E0}">
  <dimension ref="A1:G42"/>
  <sheetViews>
    <sheetView workbookViewId="0">
      <selection activeCell="D39" sqref="D39"/>
    </sheetView>
  </sheetViews>
  <sheetFormatPr defaultRowHeight="15"/>
  <cols>
    <col min="2" max="2" width="18" customWidth="1"/>
    <col min="3" max="3" width="24.42578125" customWidth="1"/>
    <col min="4" max="4" width="27.42578125" customWidth="1"/>
  </cols>
  <sheetData>
    <row r="1" spans="1:7">
      <c r="A1" s="103" t="s">
        <v>1203</v>
      </c>
      <c r="B1" s="104" t="s">
        <v>164</v>
      </c>
      <c r="C1" s="104" t="s">
        <v>1478</v>
      </c>
      <c r="D1" s="104" t="s">
        <v>1479</v>
      </c>
    </row>
    <row r="2" spans="1:7">
      <c r="A2" s="95">
        <v>1</v>
      </c>
      <c r="B2" s="233" t="s">
        <v>952</v>
      </c>
      <c r="C2" s="234" t="s">
        <v>953</v>
      </c>
      <c r="D2" s="235" t="s">
        <v>1480</v>
      </c>
    </row>
    <row r="3" spans="1:7" ht="30">
      <c r="A3" s="95">
        <f>1+A2</f>
        <v>2</v>
      </c>
      <c r="B3" s="236" t="s">
        <v>956</v>
      </c>
      <c r="C3" s="234" t="s">
        <v>957</v>
      </c>
      <c r="D3" s="235" t="s">
        <v>1480</v>
      </c>
      <c r="F3" s="392" t="s">
        <v>1481</v>
      </c>
      <c r="G3" s="392"/>
    </row>
    <row r="4" spans="1:7">
      <c r="A4" s="95">
        <f t="shared" ref="A4:A10" si="0">1+A3</f>
        <v>3</v>
      </c>
      <c r="B4" s="233" t="s">
        <v>959</v>
      </c>
      <c r="C4" s="234" t="s">
        <v>960</v>
      </c>
      <c r="D4" s="235" t="s">
        <v>1480</v>
      </c>
    </row>
    <row r="5" spans="1:7">
      <c r="A5" s="95">
        <f t="shared" si="0"/>
        <v>4</v>
      </c>
      <c r="B5" s="236" t="s">
        <v>962</v>
      </c>
      <c r="C5" s="234" t="s">
        <v>963</v>
      </c>
      <c r="D5" s="235" t="s">
        <v>1480</v>
      </c>
    </row>
    <row r="6" spans="1:7">
      <c r="A6" s="95">
        <f t="shared" si="0"/>
        <v>5</v>
      </c>
      <c r="B6" s="236" t="s">
        <v>965</v>
      </c>
      <c r="C6" s="234" t="s">
        <v>1482</v>
      </c>
      <c r="D6" s="235" t="s">
        <v>1480</v>
      </c>
    </row>
    <row r="7" spans="1:7">
      <c r="A7" s="95">
        <f t="shared" si="0"/>
        <v>6</v>
      </c>
      <c r="B7" s="236" t="s">
        <v>969</v>
      </c>
      <c r="C7" s="234" t="s">
        <v>970</v>
      </c>
      <c r="D7" s="235" t="s">
        <v>1480</v>
      </c>
    </row>
    <row r="8" spans="1:7">
      <c r="A8" s="95">
        <f t="shared" si="0"/>
        <v>7</v>
      </c>
      <c r="B8" s="233" t="s">
        <v>925</v>
      </c>
      <c r="C8" s="234" t="s">
        <v>926</v>
      </c>
      <c r="D8" s="235" t="s">
        <v>1480</v>
      </c>
    </row>
    <row r="9" spans="1:7">
      <c r="A9" s="95">
        <f t="shared" si="0"/>
        <v>8</v>
      </c>
      <c r="B9" s="233" t="s">
        <v>927</v>
      </c>
      <c r="C9" s="234" t="s">
        <v>928</v>
      </c>
      <c r="D9" s="235" t="s">
        <v>1480</v>
      </c>
    </row>
    <row r="10" spans="1:7">
      <c r="A10" s="95">
        <f t="shared" si="0"/>
        <v>9</v>
      </c>
      <c r="B10" s="233" t="s">
        <v>929</v>
      </c>
      <c r="C10" s="234" t="s">
        <v>928</v>
      </c>
      <c r="D10" s="235" t="s">
        <v>1480</v>
      </c>
    </row>
    <row r="11" spans="1:7" ht="30">
      <c r="A11" s="95">
        <v>10</v>
      </c>
      <c r="B11" s="233" t="s">
        <v>1483</v>
      </c>
      <c r="C11" s="234" t="s">
        <v>1484</v>
      </c>
      <c r="D11" s="235" t="s">
        <v>1012</v>
      </c>
    </row>
    <row r="12" spans="1:7">
      <c r="A12" s="95">
        <v>11</v>
      </c>
      <c r="B12" s="233" t="s">
        <v>931</v>
      </c>
      <c r="C12" s="234" t="s">
        <v>928</v>
      </c>
      <c r="D12" s="235" t="s">
        <v>1480</v>
      </c>
    </row>
    <row r="13" spans="1:7">
      <c r="A13" s="95">
        <v>12</v>
      </c>
      <c r="B13" s="233" t="s">
        <v>932</v>
      </c>
      <c r="C13" s="234" t="s">
        <v>926</v>
      </c>
      <c r="D13" s="235" t="s">
        <v>1480</v>
      </c>
    </row>
    <row r="14" spans="1:7">
      <c r="A14" s="95">
        <v>13</v>
      </c>
      <c r="B14" s="233" t="s">
        <v>933</v>
      </c>
      <c r="C14" s="234" t="s">
        <v>934</v>
      </c>
      <c r="D14" s="235" t="s">
        <v>1480</v>
      </c>
    </row>
    <row r="15" spans="1:7" ht="30">
      <c r="A15" s="95">
        <v>14</v>
      </c>
      <c r="B15" s="233" t="s">
        <v>935</v>
      </c>
      <c r="C15" s="234" t="s">
        <v>936</v>
      </c>
      <c r="D15" s="235" t="s">
        <v>1480</v>
      </c>
    </row>
    <row r="16" spans="1:7" ht="30">
      <c r="A16" s="95">
        <v>15</v>
      </c>
      <c r="B16" s="236" t="s">
        <v>938</v>
      </c>
      <c r="C16" s="234" t="s">
        <v>939</v>
      </c>
      <c r="D16" s="235" t="s">
        <v>1480</v>
      </c>
    </row>
    <row r="17" spans="1:4" ht="30">
      <c r="A17" s="95">
        <v>16</v>
      </c>
      <c r="B17" s="233" t="s">
        <v>973</v>
      </c>
      <c r="C17" s="234" t="s">
        <v>974</v>
      </c>
      <c r="D17" s="235" t="s">
        <v>1480</v>
      </c>
    </row>
    <row r="18" spans="1:4" ht="30">
      <c r="A18" s="95">
        <v>17</v>
      </c>
      <c r="B18" s="236" t="s">
        <v>976</v>
      </c>
      <c r="C18" s="234" t="s">
        <v>977</v>
      </c>
      <c r="D18" s="235" t="s">
        <v>1480</v>
      </c>
    </row>
    <row r="19" spans="1:4" ht="30">
      <c r="A19" s="95">
        <v>18</v>
      </c>
      <c r="B19" s="236" t="s">
        <v>1485</v>
      </c>
      <c r="C19" s="234" t="s">
        <v>942</v>
      </c>
      <c r="D19" s="235" t="s">
        <v>1480</v>
      </c>
    </row>
    <row r="20" spans="1:4" ht="30">
      <c r="A20" s="95">
        <v>19</v>
      </c>
      <c r="B20" s="233" t="s">
        <v>1486</v>
      </c>
      <c r="C20" s="234" t="s">
        <v>945</v>
      </c>
      <c r="D20" s="235" t="s">
        <v>1480</v>
      </c>
    </row>
    <row r="21" spans="1:4">
      <c r="A21" s="95">
        <v>20</v>
      </c>
      <c r="B21" s="233" t="s">
        <v>948</v>
      </c>
      <c r="C21" s="234" t="s">
        <v>949</v>
      </c>
      <c r="D21" s="235" t="s">
        <v>1480</v>
      </c>
    </row>
    <row r="22" spans="1:4">
      <c r="A22" s="95">
        <v>21</v>
      </c>
      <c r="B22" s="233" t="s">
        <v>980</v>
      </c>
      <c r="C22" s="234" t="s">
        <v>981</v>
      </c>
      <c r="D22" s="235" t="s">
        <v>979</v>
      </c>
    </row>
    <row r="23" spans="1:4" ht="30">
      <c r="A23" s="95">
        <v>22</v>
      </c>
      <c r="B23" s="233" t="s">
        <v>983</v>
      </c>
      <c r="C23" s="234" t="s">
        <v>984</v>
      </c>
      <c r="D23" s="235" t="s">
        <v>979</v>
      </c>
    </row>
    <row r="24" spans="1:4" ht="30">
      <c r="A24" s="95">
        <v>23</v>
      </c>
      <c r="B24" s="233" t="s">
        <v>986</v>
      </c>
      <c r="C24" s="234" t="s">
        <v>987</v>
      </c>
      <c r="D24" s="235" t="s">
        <v>979</v>
      </c>
    </row>
    <row r="25" spans="1:4" ht="30">
      <c r="A25" s="95">
        <v>24</v>
      </c>
      <c r="B25" s="236" t="s">
        <v>1024</v>
      </c>
      <c r="C25" s="234" t="s">
        <v>1025</v>
      </c>
      <c r="D25" s="235" t="s">
        <v>1012</v>
      </c>
    </row>
    <row r="26" spans="1:4" ht="45">
      <c r="A26" s="95">
        <v>25</v>
      </c>
      <c r="B26" s="236" t="s">
        <v>1016</v>
      </c>
      <c r="C26" s="234" t="s">
        <v>1017</v>
      </c>
      <c r="D26" s="235" t="s">
        <v>1012</v>
      </c>
    </row>
    <row r="27" spans="1:4" ht="45">
      <c r="A27" s="95">
        <v>26</v>
      </c>
      <c r="B27" s="236" t="s">
        <v>1019</v>
      </c>
      <c r="C27" s="234" t="s">
        <v>1020</v>
      </c>
      <c r="D27" s="235" t="s">
        <v>1012</v>
      </c>
    </row>
    <row r="28" spans="1:4" ht="30">
      <c r="A28" s="95">
        <v>27</v>
      </c>
      <c r="B28" s="236" t="s">
        <v>1013</v>
      </c>
      <c r="C28" s="234" t="s">
        <v>1014</v>
      </c>
      <c r="D28" s="235" t="s">
        <v>1012</v>
      </c>
    </row>
    <row r="29" spans="1:4">
      <c r="A29" s="95">
        <v>28</v>
      </c>
      <c r="B29" s="233" t="s">
        <v>996</v>
      </c>
      <c r="C29" s="234" t="s">
        <v>997</v>
      </c>
      <c r="D29" s="235" t="s">
        <v>989</v>
      </c>
    </row>
    <row r="30" spans="1:4">
      <c r="A30" s="95">
        <v>29</v>
      </c>
      <c r="B30" s="233" t="s">
        <v>999</v>
      </c>
      <c r="C30" s="234" t="s">
        <v>1000</v>
      </c>
      <c r="D30" s="235" t="s">
        <v>989</v>
      </c>
    </row>
    <row r="31" spans="1:4" ht="30">
      <c r="A31" s="95">
        <v>30</v>
      </c>
      <c r="B31" s="233" t="s">
        <v>990</v>
      </c>
      <c r="C31" s="234" t="s">
        <v>991</v>
      </c>
      <c r="D31" s="235" t="s">
        <v>989</v>
      </c>
    </row>
    <row r="32" spans="1:4">
      <c r="A32" s="95">
        <v>31</v>
      </c>
      <c r="B32" s="233" t="s">
        <v>993</v>
      </c>
      <c r="C32" s="234" t="s">
        <v>994</v>
      </c>
      <c r="D32" s="235" t="s">
        <v>989</v>
      </c>
    </row>
    <row r="33" spans="1:4">
      <c r="A33" s="95">
        <v>32</v>
      </c>
      <c r="B33" s="236" t="s">
        <v>1028</v>
      </c>
      <c r="C33" s="97" t="s">
        <v>1487</v>
      </c>
      <c r="D33" s="237" t="s">
        <v>1488</v>
      </c>
    </row>
    <row r="34" spans="1:4">
      <c r="A34" s="95">
        <v>33</v>
      </c>
      <c r="B34" s="236" t="s">
        <v>1031</v>
      </c>
      <c r="C34" s="97" t="s">
        <v>947</v>
      </c>
      <c r="D34" s="237" t="s">
        <v>1488</v>
      </c>
    </row>
    <row r="35" spans="1:4">
      <c r="A35" s="95">
        <v>34</v>
      </c>
      <c r="B35" s="236" t="s">
        <v>1033</v>
      </c>
      <c r="C35" s="97" t="s">
        <v>1034</v>
      </c>
      <c r="D35" s="237" t="s">
        <v>1488</v>
      </c>
    </row>
    <row r="36" spans="1:4">
      <c r="A36" s="95">
        <v>35</v>
      </c>
      <c r="B36" s="238" t="s">
        <v>1036</v>
      </c>
      <c r="C36" s="105" t="s">
        <v>1037</v>
      </c>
      <c r="D36" s="237" t="s">
        <v>1488</v>
      </c>
    </row>
    <row r="37" spans="1:4">
      <c r="A37" s="95">
        <v>36</v>
      </c>
      <c r="B37" s="236" t="s">
        <v>1039</v>
      </c>
      <c r="C37" s="97" t="s">
        <v>1040</v>
      </c>
      <c r="D37" s="237" t="s">
        <v>1488</v>
      </c>
    </row>
    <row r="38" spans="1:4">
      <c r="A38" s="95">
        <v>37</v>
      </c>
      <c r="B38" s="236" t="s">
        <v>1489</v>
      </c>
      <c r="C38" s="97" t="s">
        <v>1490</v>
      </c>
      <c r="D38" s="237" t="s">
        <v>1488</v>
      </c>
    </row>
    <row r="39" spans="1:4">
      <c r="A39" s="95">
        <v>38</v>
      </c>
      <c r="B39" s="236" t="s">
        <v>1491</v>
      </c>
      <c r="C39" s="97" t="s">
        <v>1492</v>
      </c>
      <c r="D39" s="237" t="s">
        <v>1488</v>
      </c>
    </row>
    <row r="40" spans="1:4" ht="30">
      <c r="A40" s="95">
        <v>39</v>
      </c>
      <c r="B40" s="236" t="s">
        <v>1006</v>
      </c>
      <c r="C40" s="234" t="s">
        <v>1007</v>
      </c>
      <c r="D40" s="235" t="s">
        <v>1002</v>
      </c>
    </row>
    <row r="41" spans="1:4" ht="30">
      <c r="A41" s="95">
        <v>40</v>
      </c>
      <c r="B41" s="236" t="s">
        <v>1003</v>
      </c>
      <c r="C41" s="234" t="s">
        <v>1004</v>
      </c>
      <c r="D41" s="235" t="s">
        <v>1002</v>
      </c>
    </row>
    <row r="42" spans="1:4" ht="30">
      <c r="A42" s="95">
        <v>41</v>
      </c>
      <c r="B42" s="236" t="s">
        <v>1009</v>
      </c>
      <c r="C42" s="234" t="s">
        <v>1010</v>
      </c>
      <c r="D42" s="235" t="s">
        <v>1002</v>
      </c>
    </row>
  </sheetData>
  <mergeCells count="1">
    <mergeCell ref="F3: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B1EE-F157-4DCB-92F3-7AD4204C08C1}">
  <dimension ref="A1:B6"/>
  <sheetViews>
    <sheetView workbookViewId="0">
      <selection activeCell="B12" sqref="B12"/>
    </sheetView>
  </sheetViews>
  <sheetFormatPr defaultRowHeight="15"/>
  <cols>
    <col min="1" max="1" width="98.85546875" customWidth="1"/>
    <col min="2" max="2" width="14.140625" customWidth="1"/>
  </cols>
  <sheetData>
    <row r="1" spans="1:2" ht="30">
      <c r="A1" s="38" t="s">
        <v>1493</v>
      </c>
      <c r="B1" t="s">
        <v>1494</v>
      </c>
    </row>
    <row r="2" spans="1:2" ht="30">
      <c r="A2" s="38" t="s">
        <v>1495</v>
      </c>
      <c r="B2" t="s">
        <v>1494</v>
      </c>
    </row>
    <row r="3" spans="1:2" ht="30">
      <c r="A3" s="38" t="s">
        <v>1496</v>
      </c>
      <c r="B3" t="s">
        <v>1494</v>
      </c>
    </row>
    <row r="4" spans="1:2" ht="30">
      <c r="A4" s="38" t="s">
        <v>1495</v>
      </c>
      <c r="B4" t="s">
        <v>1494</v>
      </c>
    </row>
    <row r="5" spans="1:2" ht="30">
      <c r="A5" s="38" t="s">
        <v>1497</v>
      </c>
      <c r="B5" t="s">
        <v>1498</v>
      </c>
    </row>
    <row r="6" spans="1:2">
      <c r="A6" s="38" t="s">
        <v>1499</v>
      </c>
      <c r="B6" t="s">
        <v>1498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788C-7F56-4B8A-8C23-ED6B10CCCF4C}">
  <dimension ref="A1:V37"/>
  <sheetViews>
    <sheetView topLeftCell="A17" workbookViewId="0">
      <selection activeCell="B3" sqref="B3:B9"/>
    </sheetView>
  </sheetViews>
  <sheetFormatPr defaultRowHeight="15"/>
  <cols>
    <col min="2" max="2" width="16.42578125" bestFit="1" customWidth="1"/>
    <col min="3" max="3" width="10.42578125" bestFit="1" customWidth="1"/>
    <col min="5" max="5" width="52.7109375" bestFit="1" customWidth="1"/>
    <col min="6" max="6" width="36.42578125" bestFit="1" customWidth="1"/>
    <col min="7" max="7" width="30.42578125" bestFit="1" customWidth="1"/>
    <col min="8" max="8" width="25.28515625" customWidth="1"/>
    <col min="10" max="10" width="25.85546875" customWidth="1"/>
  </cols>
  <sheetData>
    <row r="1" spans="1:22">
      <c r="A1" s="120"/>
      <c r="B1" s="120"/>
      <c r="C1" s="120"/>
      <c r="D1" s="120"/>
      <c r="E1" s="120"/>
      <c r="F1" s="120"/>
      <c r="G1" s="120"/>
      <c r="H1" s="120"/>
      <c r="I1" s="120"/>
      <c r="J1" s="121"/>
      <c r="K1" s="120"/>
      <c r="L1" s="120"/>
      <c r="M1" s="120"/>
      <c r="N1" s="120"/>
      <c r="O1" s="120"/>
      <c r="P1" s="120"/>
      <c r="Q1" s="120"/>
      <c r="R1" s="120"/>
      <c r="S1" s="120"/>
      <c r="T1" s="120"/>
      <c r="U1" s="120"/>
      <c r="V1" s="120"/>
    </row>
    <row r="2" spans="1:22" ht="90">
      <c r="A2" s="120"/>
      <c r="B2" s="122" t="s">
        <v>922</v>
      </c>
      <c r="C2" s="122" t="s">
        <v>164</v>
      </c>
      <c r="D2" s="122" t="s">
        <v>923</v>
      </c>
      <c r="E2" s="122" t="s">
        <v>1500</v>
      </c>
      <c r="F2" s="122" t="s">
        <v>1501</v>
      </c>
      <c r="G2" s="122" t="s">
        <v>1502</v>
      </c>
      <c r="H2" s="123" t="s">
        <v>1503</v>
      </c>
      <c r="I2" s="123" t="s">
        <v>1504</v>
      </c>
      <c r="J2" s="123" t="s">
        <v>1505</v>
      </c>
      <c r="K2" s="120"/>
      <c r="L2" s="120"/>
      <c r="M2" s="120"/>
      <c r="N2" s="120"/>
      <c r="O2" s="120"/>
      <c r="P2" s="120"/>
      <c r="Q2" s="120"/>
      <c r="R2" s="120"/>
      <c r="S2" s="120"/>
      <c r="T2" s="120"/>
      <c r="U2" s="120"/>
      <c r="V2" s="120"/>
    </row>
    <row r="3" spans="1:22" ht="45">
      <c r="A3" s="120"/>
      <c r="B3" s="394" t="s">
        <v>924</v>
      </c>
      <c r="C3" s="124" t="s">
        <v>925</v>
      </c>
      <c r="D3" s="124" t="s">
        <v>284</v>
      </c>
      <c r="E3" s="124" t="s">
        <v>1506</v>
      </c>
      <c r="F3" s="124" t="s">
        <v>1507</v>
      </c>
      <c r="G3" s="125" t="s">
        <v>1508</v>
      </c>
      <c r="H3" s="125" t="s">
        <v>1509</v>
      </c>
      <c r="I3" s="125" t="s">
        <v>284</v>
      </c>
      <c r="J3" s="125" t="s">
        <v>1510</v>
      </c>
      <c r="K3" s="120"/>
      <c r="L3" s="120"/>
      <c r="M3" s="120"/>
      <c r="N3" s="120"/>
      <c r="O3" s="120"/>
      <c r="P3" s="120"/>
      <c r="Q3" s="120"/>
      <c r="R3" s="120"/>
      <c r="S3" s="120"/>
      <c r="T3" s="120"/>
      <c r="U3" s="120"/>
      <c r="V3" s="120"/>
    </row>
    <row r="4" spans="1:22" ht="45">
      <c r="A4" s="120"/>
      <c r="B4" s="394"/>
      <c r="C4" s="124" t="s">
        <v>927</v>
      </c>
      <c r="D4" s="124" t="s">
        <v>284</v>
      </c>
      <c r="E4" s="125" t="s">
        <v>1511</v>
      </c>
      <c r="F4" s="124" t="s">
        <v>1507</v>
      </c>
      <c r="G4" s="124" t="s">
        <v>1512</v>
      </c>
      <c r="H4" s="125" t="s">
        <v>1513</v>
      </c>
      <c r="I4" s="125" t="s">
        <v>284</v>
      </c>
      <c r="J4" s="125"/>
      <c r="K4" s="120"/>
      <c r="L4" s="126"/>
      <c r="M4" s="120"/>
      <c r="N4" s="120"/>
      <c r="O4" s="120"/>
      <c r="P4" s="120"/>
      <c r="Q4" s="120"/>
      <c r="R4" s="120"/>
      <c r="S4" s="120"/>
      <c r="T4" s="120"/>
      <c r="U4" s="120"/>
      <c r="V4" s="120"/>
    </row>
    <row r="5" spans="1:22" ht="45">
      <c r="A5" s="120"/>
      <c r="B5" s="394"/>
      <c r="C5" s="124" t="s">
        <v>929</v>
      </c>
      <c r="D5" s="124" t="s">
        <v>284</v>
      </c>
      <c r="E5" s="125" t="s">
        <v>1514</v>
      </c>
      <c r="F5" s="124" t="s">
        <v>1507</v>
      </c>
      <c r="G5" s="124" t="s">
        <v>1512</v>
      </c>
      <c r="H5" s="125" t="s">
        <v>1513</v>
      </c>
      <c r="I5" s="125" t="s">
        <v>284</v>
      </c>
      <c r="J5" s="125"/>
      <c r="K5" s="120"/>
      <c r="L5" s="127"/>
      <c r="M5" s="395"/>
      <c r="N5" s="395"/>
      <c r="O5" s="395"/>
      <c r="P5" s="395"/>
      <c r="Q5" s="395"/>
      <c r="R5" s="395"/>
      <c r="S5" s="395"/>
      <c r="T5" s="395"/>
      <c r="U5" s="395"/>
      <c r="V5" s="120"/>
    </row>
    <row r="6" spans="1:22" ht="75">
      <c r="A6" s="120"/>
      <c r="B6" s="394"/>
      <c r="C6" s="124" t="s">
        <v>931</v>
      </c>
      <c r="D6" s="124" t="s">
        <v>284</v>
      </c>
      <c r="E6" s="124" t="s">
        <v>1506</v>
      </c>
      <c r="F6" s="125" t="s">
        <v>1515</v>
      </c>
      <c r="G6" s="125" t="s">
        <v>1516</v>
      </c>
      <c r="H6" s="125" t="s">
        <v>1517</v>
      </c>
      <c r="I6" s="125" t="s">
        <v>284</v>
      </c>
      <c r="J6" s="125"/>
      <c r="K6" s="120"/>
      <c r="L6" s="127"/>
      <c r="M6" s="395"/>
      <c r="N6" s="395"/>
      <c r="O6" s="395"/>
      <c r="P6" s="395"/>
      <c r="Q6" s="395"/>
      <c r="R6" s="395"/>
      <c r="S6" s="395"/>
      <c r="T6" s="395"/>
      <c r="U6" s="395"/>
      <c r="V6" s="120"/>
    </row>
    <row r="7" spans="1:22" ht="30">
      <c r="A7" s="120"/>
      <c r="B7" s="394"/>
      <c r="C7" s="124" t="s">
        <v>932</v>
      </c>
      <c r="D7" s="124" t="s">
        <v>284</v>
      </c>
      <c r="E7" s="124" t="s">
        <v>1506</v>
      </c>
      <c r="F7" s="124" t="s">
        <v>1507</v>
      </c>
      <c r="G7" s="125" t="s">
        <v>1518</v>
      </c>
      <c r="H7" s="125" t="s">
        <v>1519</v>
      </c>
      <c r="I7" s="125" t="s">
        <v>284</v>
      </c>
      <c r="J7" s="125"/>
      <c r="K7" s="120"/>
      <c r="L7" s="120"/>
      <c r="M7" s="395"/>
      <c r="N7" s="395"/>
      <c r="O7" s="395"/>
      <c r="P7" s="395"/>
      <c r="Q7" s="395"/>
      <c r="R7" s="395"/>
      <c r="S7" s="395"/>
      <c r="T7" s="395"/>
      <c r="U7" s="395"/>
      <c r="V7" s="120"/>
    </row>
    <row r="8" spans="1:22" ht="45">
      <c r="A8" s="120"/>
      <c r="B8" s="394"/>
      <c r="C8" s="124" t="s">
        <v>933</v>
      </c>
      <c r="D8" s="124" t="s">
        <v>284</v>
      </c>
      <c r="E8" s="124"/>
      <c r="F8" s="124" t="s">
        <v>1520</v>
      </c>
      <c r="G8" s="125" t="s">
        <v>1521</v>
      </c>
      <c r="H8" s="125" t="s">
        <v>1522</v>
      </c>
      <c r="I8" s="125" t="s">
        <v>284</v>
      </c>
      <c r="J8" s="125"/>
      <c r="K8" s="120"/>
      <c r="L8" s="120"/>
      <c r="M8" s="120"/>
      <c r="N8" s="120"/>
      <c r="O8" s="120"/>
      <c r="P8" s="120"/>
      <c r="Q8" s="120"/>
      <c r="R8" s="120"/>
      <c r="S8" s="120"/>
      <c r="T8" s="120"/>
      <c r="U8" s="120"/>
      <c r="V8" s="120"/>
    </row>
    <row r="9" spans="1:22" ht="45">
      <c r="A9" s="120"/>
      <c r="B9" s="394"/>
      <c r="C9" s="124" t="s">
        <v>935</v>
      </c>
      <c r="D9" s="124" t="s">
        <v>284</v>
      </c>
      <c r="E9" s="124"/>
      <c r="F9" s="125" t="s">
        <v>1523</v>
      </c>
      <c r="G9" s="125" t="s">
        <v>1524</v>
      </c>
      <c r="H9" s="125" t="s">
        <v>1525</v>
      </c>
      <c r="I9" s="125" t="s">
        <v>284</v>
      </c>
      <c r="J9" s="125"/>
      <c r="K9" s="120"/>
      <c r="L9" s="120"/>
      <c r="M9" s="120"/>
      <c r="N9" s="120"/>
      <c r="O9" s="120"/>
      <c r="P9" s="120"/>
      <c r="Q9" s="120"/>
      <c r="R9" s="120"/>
      <c r="S9" s="120"/>
      <c r="T9" s="120"/>
      <c r="U9" s="120"/>
      <c r="V9" s="120"/>
    </row>
    <row r="10" spans="1:22">
      <c r="A10" s="120"/>
      <c r="B10" s="394" t="s">
        <v>937</v>
      </c>
      <c r="C10" s="128" t="s">
        <v>938</v>
      </c>
      <c r="D10" s="124" t="s">
        <v>940</v>
      </c>
      <c r="E10" s="129" t="s">
        <v>1526</v>
      </c>
      <c r="F10" s="130" t="s">
        <v>1527</v>
      </c>
      <c r="G10" s="124" t="s">
        <v>1528</v>
      </c>
      <c r="H10" s="125"/>
      <c r="I10" s="125" t="s">
        <v>284</v>
      </c>
      <c r="J10" s="125"/>
      <c r="K10" s="120"/>
      <c r="L10" s="120"/>
      <c r="M10" s="120"/>
      <c r="N10" s="120"/>
      <c r="O10" s="120"/>
      <c r="P10" s="120"/>
      <c r="Q10" s="120"/>
      <c r="R10" s="120"/>
      <c r="S10" s="120"/>
      <c r="T10" s="120"/>
      <c r="U10" s="120"/>
      <c r="V10" s="120"/>
    </row>
    <row r="11" spans="1:22" ht="30">
      <c r="A11" s="120"/>
      <c r="B11" s="394"/>
      <c r="C11" s="128" t="s">
        <v>941</v>
      </c>
      <c r="D11" s="125" t="s">
        <v>943</v>
      </c>
      <c r="E11" s="131" t="s">
        <v>1529</v>
      </c>
      <c r="F11" s="132" t="s">
        <v>1527</v>
      </c>
      <c r="G11" s="124" t="s">
        <v>1530</v>
      </c>
      <c r="H11" s="128" t="s">
        <v>1531</v>
      </c>
      <c r="I11" s="128" t="s">
        <v>1532</v>
      </c>
      <c r="J11" s="125" t="s">
        <v>1533</v>
      </c>
      <c r="K11" s="120"/>
      <c r="L11" s="120"/>
      <c r="M11" s="120"/>
      <c r="N11" s="120"/>
      <c r="O11" s="120"/>
      <c r="P11" s="120"/>
      <c r="Q11" s="120"/>
      <c r="R11" s="120"/>
      <c r="S11" s="120"/>
      <c r="T11" s="120"/>
      <c r="U11" s="120"/>
      <c r="V11" s="120"/>
    </row>
    <row r="12" spans="1:22" ht="30">
      <c r="A12" s="120"/>
      <c r="B12" s="394"/>
      <c r="C12" s="133" t="s">
        <v>944</v>
      </c>
      <c r="D12" s="125" t="s">
        <v>946</v>
      </c>
      <c r="E12" s="131" t="s">
        <v>1534</v>
      </c>
      <c r="F12" s="132" t="s">
        <v>1527</v>
      </c>
      <c r="G12" s="124" t="s">
        <v>1535</v>
      </c>
      <c r="H12" s="128" t="s">
        <v>1536</v>
      </c>
      <c r="I12" s="128" t="s">
        <v>1532</v>
      </c>
      <c r="J12" s="125" t="s">
        <v>1533</v>
      </c>
      <c r="K12" s="120"/>
      <c r="L12" s="120"/>
      <c r="M12" s="120"/>
      <c r="N12" s="120"/>
      <c r="O12" s="120"/>
      <c r="P12" s="120"/>
      <c r="Q12" s="120"/>
      <c r="R12" s="120"/>
      <c r="S12" s="120"/>
      <c r="T12" s="120"/>
      <c r="U12" s="120"/>
      <c r="V12" s="120"/>
    </row>
    <row r="13" spans="1:22" ht="30">
      <c r="A13" s="120"/>
      <c r="B13" s="239" t="s">
        <v>947</v>
      </c>
      <c r="C13" s="133" t="s">
        <v>948</v>
      </c>
      <c r="D13" s="125" t="s">
        <v>950</v>
      </c>
      <c r="E13" s="131" t="s">
        <v>1537</v>
      </c>
      <c r="F13" s="132" t="s">
        <v>1527</v>
      </c>
      <c r="G13" s="124" t="s">
        <v>1538</v>
      </c>
      <c r="H13" s="128" t="s">
        <v>1539</v>
      </c>
      <c r="I13" s="128" t="s">
        <v>1532</v>
      </c>
      <c r="J13" s="125" t="s">
        <v>1533</v>
      </c>
      <c r="K13" s="120"/>
      <c r="L13" s="120"/>
      <c r="M13" s="120"/>
      <c r="N13" s="120"/>
      <c r="O13" s="120"/>
      <c r="P13" s="120"/>
      <c r="Q13" s="120"/>
      <c r="R13" s="120"/>
      <c r="S13" s="120"/>
      <c r="T13" s="120"/>
      <c r="U13" s="120"/>
      <c r="V13" s="120"/>
    </row>
    <row r="14" spans="1:22" ht="75">
      <c r="A14" s="120"/>
      <c r="B14" s="239" t="s">
        <v>951</v>
      </c>
      <c r="C14" s="133" t="s">
        <v>952</v>
      </c>
      <c r="D14" s="125" t="s">
        <v>954</v>
      </c>
      <c r="E14" s="131" t="s">
        <v>1540</v>
      </c>
      <c r="F14" s="124" t="s">
        <v>1507</v>
      </c>
      <c r="G14" s="124" t="s">
        <v>1541</v>
      </c>
      <c r="H14" s="128" t="s">
        <v>1542</v>
      </c>
      <c r="I14" s="128" t="s">
        <v>1532</v>
      </c>
      <c r="J14" s="125" t="s">
        <v>1543</v>
      </c>
      <c r="K14" s="120"/>
      <c r="L14" s="120"/>
      <c r="M14" s="120"/>
      <c r="N14" s="120"/>
      <c r="O14" s="120"/>
      <c r="P14" s="120"/>
      <c r="Q14" s="120"/>
      <c r="R14" s="120"/>
      <c r="S14" s="120"/>
      <c r="T14" s="120"/>
      <c r="U14" s="120"/>
      <c r="V14" s="120"/>
    </row>
    <row r="15" spans="1:22" ht="409.5">
      <c r="A15" s="120"/>
      <c r="B15" s="394" t="s">
        <v>955</v>
      </c>
      <c r="C15" s="133" t="s">
        <v>959</v>
      </c>
      <c r="D15" s="125" t="s">
        <v>961</v>
      </c>
      <c r="E15" s="131" t="s">
        <v>1544</v>
      </c>
      <c r="F15" s="125" t="s">
        <v>1545</v>
      </c>
      <c r="G15" s="125" t="s">
        <v>1546</v>
      </c>
      <c r="H15" s="412" t="s">
        <v>1547</v>
      </c>
      <c r="I15" s="128" t="s">
        <v>1548</v>
      </c>
      <c r="J15" s="125"/>
      <c r="K15" s="120"/>
      <c r="L15" s="120"/>
      <c r="M15" s="120"/>
      <c r="N15" s="120"/>
      <c r="O15" s="120"/>
      <c r="P15" s="120"/>
      <c r="Q15" s="120"/>
      <c r="R15" s="120"/>
      <c r="S15" s="120"/>
      <c r="T15" s="120"/>
      <c r="U15" s="120"/>
      <c r="V15" s="120"/>
    </row>
    <row r="16" spans="1:22" ht="409.5">
      <c r="A16" s="120"/>
      <c r="B16" s="394"/>
      <c r="C16" s="128" t="s">
        <v>956</v>
      </c>
      <c r="D16" s="125" t="s">
        <v>1050</v>
      </c>
      <c r="E16" s="131" t="s">
        <v>1549</v>
      </c>
      <c r="F16" s="125" t="s">
        <v>1550</v>
      </c>
      <c r="G16" s="125" t="s">
        <v>1551</v>
      </c>
      <c r="H16" s="412" t="s">
        <v>1552</v>
      </c>
      <c r="I16" s="128" t="s">
        <v>1553</v>
      </c>
      <c r="J16" s="125" t="s">
        <v>1554</v>
      </c>
      <c r="K16" s="120"/>
      <c r="L16" s="120"/>
      <c r="M16" s="120"/>
      <c r="N16" s="120"/>
      <c r="O16" s="120"/>
      <c r="P16" s="120"/>
      <c r="Q16" s="120"/>
      <c r="R16" s="120"/>
      <c r="S16" s="120"/>
      <c r="T16" s="120"/>
      <c r="U16" s="120"/>
      <c r="V16" s="120"/>
    </row>
    <row r="17" spans="1:22" ht="409.5">
      <c r="A17" s="120"/>
      <c r="B17" s="394"/>
      <c r="C17" s="128" t="s">
        <v>962</v>
      </c>
      <c r="D17" s="125" t="s">
        <v>964</v>
      </c>
      <c r="E17" s="131" t="s">
        <v>1555</v>
      </c>
      <c r="F17" s="125" t="s">
        <v>1556</v>
      </c>
      <c r="G17" s="125" t="s">
        <v>1557</v>
      </c>
      <c r="H17" s="128" t="s">
        <v>1558</v>
      </c>
      <c r="I17" s="128" t="s">
        <v>1559</v>
      </c>
      <c r="J17" s="125" t="s">
        <v>1560</v>
      </c>
      <c r="K17" s="120"/>
      <c r="L17" s="120"/>
      <c r="M17" s="120"/>
      <c r="N17" s="120"/>
      <c r="O17" s="120"/>
      <c r="P17" s="120"/>
      <c r="Q17" s="120"/>
      <c r="R17" s="120"/>
      <c r="S17" s="120"/>
      <c r="T17" s="120"/>
      <c r="U17" s="120"/>
      <c r="V17" s="120"/>
    </row>
    <row r="18" spans="1:22" ht="409.5">
      <c r="A18" s="120"/>
      <c r="B18" s="394"/>
      <c r="C18" s="128" t="s">
        <v>965</v>
      </c>
      <c r="D18" s="125" t="s">
        <v>967</v>
      </c>
      <c r="E18" s="131" t="s">
        <v>1561</v>
      </c>
      <c r="F18" s="125" t="s">
        <v>1556</v>
      </c>
      <c r="G18" s="125" t="s">
        <v>1562</v>
      </c>
      <c r="H18" s="128" t="s">
        <v>1563</v>
      </c>
      <c r="I18" s="128" t="s">
        <v>1564</v>
      </c>
      <c r="J18" s="125"/>
      <c r="K18" s="120"/>
      <c r="L18" s="120"/>
      <c r="M18" s="120"/>
      <c r="N18" s="120"/>
      <c r="O18" s="120"/>
      <c r="P18" s="120"/>
      <c r="Q18" s="120"/>
      <c r="R18" s="120"/>
      <c r="S18" s="120"/>
      <c r="T18" s="120"/>
      <c r="U18" s="120"/>
      <c r="V18" s="120"/>
    </row>
    <row r="19" spans="1:22" ht="409.5">
      <c r="A19" s="120"/>
      <c r="B19" s="239" t="s">
        <v>968</v>
      </c>
      <c r="C19" s="128" t="s">
        <v>969</v>
      </c>
      <c r="D19" s="125" t="s">
        <v>971</v>
      </c>
      <c r="E19" s="131" t="s">
        <v>1565</v>
      </c>
      <c r="F19" s="125" t="s">
        <v>1566</v>
      </c>
      <c r="G19" s="125" t="s">
        <v>1557</v>
      </c>
      <c r="H19" s="412" t="s">
        <v>1567</v>
      </c>
      <c r="I19" s="128" t="s">
        <v>1568</v>
      </c>
      <c r="J19" s="125" t="s">
        <v>1554</v>
      </c>
      <c r="K19" s="120"/>
      <c r="L19" s="120"/>
      <c r="M19" s="120"/>
      <c r="N19" s="120"/>
      <c r="O19" s="120"/>
      <c r="P19" s="120"/>
      <c r="Q19" s="120"/>
      <c r="R19" s="120"/>
      <c r="S19" s="120"/>
      <c r="T19" s="120"/>
      <c r="U19" s="120"/>
      <c r="V19" s="120"/>
    </row>
    <row r="20" spans="1:22" ht="30">
      <c r="A20" s="120"/>
      <c r="B20" s="394" t="s">
        <v>972</v>
      </c>
      <c r="C20" s="133" t="s">
        <v>973</v>
      </c>
      <c r="D20" s="124" t="s">
        <v>975</v>
      </c>
      <c r="E20" s="131" t="s">
        <v>1569</v>
      </c>
      <c r="F20" s="124" t="s">
        <v>1570</v>
      </c>
      <c r="G20" s="124" t="s">
        <v>1571</v>
      </c>
      <c r="H20" s="128"/>
      <c r="I20" s="128" t="s">
        <v>284</v>
      </c>
      <c r="J20" s="125"/>
      <c r="K20" s="120"/>
      <c r="L20" s="120"/>
      <c r="M20" s="120"/>
      <c r="N20" s="120"/>
      <c r="O20" s="120"/>
      <c r="P20" s="120"/>
      <c r="Q20" s="120"/>
      <c r="R20" s="120"/>
      <c r="S20" s="120"/>
      <c r="T20" s="120"/>
      <c r="U20" s="120"/>
      <c r="V20" s="120"/>
    </row>
    <row r="21" spans="1:22">
      <c r="A21" s="120"/>
      <c r="B21" s="394"/>
      <c r="C21" s="128" t="s">
        <v>976</v>
      </c>
      <c r="D21" s="124" t="s">
        <v>978</v>
      </c>
      <c r="E21" s="131" t="s">
        <v>1572</v>
      </c>
      <c r="F21" s="124" t="s">
        <v>1573</v>
      </c>
      <c r="G21" s="124" t="s">
        <v>1571</v>
      </c>
      <c r="H21" s="125"/>
      <c r="I21" s="125" t="s">
        <v>284</v>
      </c>
      <c r="J21" s="125"/>
      <c r="K21" s="120"/>
      <c r="L21" s="120"/>
      <c r="M21" s="120"/>
      <c r="N21" s="120"/>
      <c r="O21" s="120"/>
      <c r="P21" s="120"/>
      <c r="Q21" s="120"/>
      <c r="R21" s="120"/>
      <c r="S21" s="120"/>
      <c r="T21" s="120"/>
      <c r="U21" s="120"/>
      <c r="V21" s="120"/>
    </row>
    <row r="22" spans="1:22" ht="90">
      <c r="A22" s="120"/>
      <c r="B22" s="393" t="s">
        <v>979</v>
      </c>
      <c r="C22" s="134" t="s">
        <v>980</v>
      </c>
      <c r="D22" s="135" t="s">
        <v>982</v>
      </c>
      <c r="E22" s="136" t="s">
        <v>1574</v>
      </c>
      <c r="F22" s="135" t="s">
        <v>1575</v>
      </c>
      <c r="G22" s="135" t="s">
        <v>1571</v>
      </c>
      <c r="H22" s="135"/>
      <c r="I22" s="135" t="s">
        <v>1576</v>
      </c>
      <c r="J22" s="125" t="s">
        <v>284</v>
      </c>
      <c r="K22" s="120"/>
      <c r="L22" s="120"/>
      <c r="M22" s="120"/>
      <c r="N22" s="120"/>
      <c r="O22" s="120"/>
      <c r="P22" s="120"/>
      <c r="Q22" s="120"/>
      <c r="R22" s="120"/>
      <c r="S22" s="120"/>
      <c r="T22" s="120"/>
      <c r="U22" s="120"/>
      <c r="V22" s="120"/>
    </row>
    <row r="23" spans="1:22" ht="75">
      <c r="A23" s="120"/>
      <c r="B23" s="393"/>
      <c r="C23" s="134" t="s">
        <v>983</v>
      </c>
      <c r="D23" s="135" t="s">
        <v>985</v>
      </c>
      <c r="E23" s="136" t="s">
        <v>1577</v>
      </c>
      <c r="F23" s="135" t="s">
        <v>1578</v>
      </c>
      <c r="G23" s="135" t="s">
        <v>1571</v>
      </c>
      <c r="H23" s="135"/>
      <c r="I23" s="135" t="s">
        <v>1532</v>
      </c>
      <c r="J23" s="125" t="s">
        <v>1579</v>
      </c>
      <c r="K23" s="120"/>
      <c r="L23" s="120"/>
      <c r="M23" s="120"/>
      <c r="N23" s="120"/>
      <c r="O23" s="120"/>
      <c r="P23" s="120"/>
      <c r="Q23" s="120"/>
      <c r="R23" s="120"/>
      <c r="S23" s="120"/>
      <c r="T23" s="120"/>
      <c r="U23" s="120"/>
      <c r="V23" s="120"/>
    </row>
    <row r="24" spans="1:22" ht="30">
      <c r="A24" s="120"/>
      <c r="B24" s="393"/>
      <c r="C24" s="134" t="s">
        <v>986</v>
      </c>
      <c r="D24" s="135" t="s">
        <v>988</v>
      </c>
      <c r="E24" s="136" t="s">
        <v>1580</v>
      </c>
      <c r="F24" s="135" t="s">
        <v>1581</v>
      </c>
      <c r="G24" s="135" t="s">
        <v>1571</v>
      </c>
      <c r="H24" s="135"/>
      <c r="I24" s="135" t="s">
        <v>1532</v>
      </c>
      <c r="J24" s="125" t="s">
        <v>1579</v>
      </c>
      <c r="K24" s="120"/>
      <c r="L24" s="120"/>
      <c r="M24" s="120"/>
      <c r="N24" s="120"/>
      <c r="O24" s="120"/>
      <c r="P24" s="120"/>
      <c r="Q24" s="120"/>
      <c r="R24" s="120"/>
      <c r="S24" s="120"/>
      <c r="T24" s="120"/>
      <c r="U24" s="120"/>
      <c r="V24" s="120"/>
    </row>
    <row r="25" spans="1:22" ht="30">
      <c r="A25" s="120"/>
      <c r="B25" s="393" t="s">
        <v>989</v>
      </c>
      <c r="C25" s="134" t="s">
        <v>990</v>
      </c>
      <c r="D25" s="135" t="s">
        <v>992</v>
      </c>
      <c r="E25" s="137" t="s">
        <v>1582</v>
      </c>
      <c r="F25" s="135" t="s">
        <v>1583</v>
      </c>
      <c r="G25" s="135" t="s">
        <v>1571</v>
      </c>
      <c r="H25" s="135"/>
      <c r="I25" s="135" t="s">
        <v>1576</v>
      </c>
      <c r="J25" s="125" t="s">
        <v>284</v>
      </c>
      <c r="K25" s="120"/>
      <c r="L25" s="120"/>
      <c r="M25" s="120"/>
      <c r="N25" s="120"/>
      <c r="O25" s="120"/>
      <c r="P25" s="120"/>
      <c r="Q25" s="120"/>
      <c r="R25" s="120"/>
      <c r="S25" s="120"/>
      <c r="T25" s="120"/>
      <c r="U25" s="120"/>
      <c r="V25" s="120"/>
    </row>
    <row r="26" spans="1:22" ht="45">
      <c r="A26" s="120"/>
      <c r="B26" s="393"/>
      <c r="C26" s="134" t="s">
        <v>993</v>
      </c>
      <c r="D26" s="135" t="s">
        <v>995</v>
      </c>
      <c r="E26" s="137" t="s">
        <v>1584</v>
      </c>
      <c r="F26" s="135" t="s">
        <v>1585</v>
      </c>
      <c r="G26" s="135" t="s">
        <v>1571</v>
      </c>
      <c r="H26" s="135"/>
      <c r="I26" s="135" t="s">
        <v>1576</v>
      </c>
      <c r="J26" s="125" t="s">
        <v>284</v>
      </c>
      <c r="K26" s="120"/>
      <c r="L26" s="120"/>
      <c r="M26" s="120"/>
      <c r="N26" s="120"/>
      <c r="O26" s="120"/>
      <c r="P26" s="120"/>
      <c r="Q26" s="120"/>
      <c r="R26" s="120"/>
      <c r="S26" s="120"/>
      <c r="T26" s="120"/>
      <c r="U26" s="120"/>
      <c r="V26" s="120"/>
    </row>
    <row r="27" spans="1:22" ht="30">
      <c r="A27" s="120"/>
      <c r="B27" s="393"/>
      <c r="C27" s="134" t="s">
        <v>996</v>
      </c>
      <c r="D27" s="134" t="s">
        <v>998</v>
      </c>
      <c r="E27" s="137" t="s">
        <v>1586</v>
      </c>
      <c r="F27" s="135" t="s">
        <v>1587</v>
      </c>
      <c r="G27" s="135" t="s">
        <v>1571</v>
      </c>
      <c r="H27" s="135"/>
      <c r="I27" s="135" t="s">
        <v>284</v>
      </c>
      <c r="J27" s="125" t="s">
        <v>284</v>
      </c>
      <c r="K27" s="120"/>
      <c r="L27" s="120"/>
      <c r="M27" s="120"/>
      <c r="N27" s="120"/>
      <c r="O27" s="120"/>
      <c r="P27" s="120"/>
      <c r="Q27" s="120"/>
      <c r="R27" s="120"/>
      <c r="S27" s="120"/>
      <c r="T27" s="120"/>
      <c r="U27" s="120"/>
      <c r="V27" s="120"/>
    </row>
    <row r="28" spans="1:22" ht="210">
      <c r="A28" s="120"/>
      <c r="B28" s="393"/>
      <c r="C28" s="134" t="s">
        <v>999</v>
      </c>
      <c r="D28" s="135" t="s">
        <v>1001</v>
      </c>
      <c r="E28" s="137" t="s">
        <v>1588</v>
      </c>
      <c r="F28" s="135" t="s">
        <v>1585</v>
      </c>
      <c r="G28" s="135" t="s">
        <v>1571</v>
      </c>
      <c r="H28" s="135"/>
      <c r="I28" s="135" t="s">
        <v>1589</v>
      </c>
      <c r="J28" s="125" t="s">
        <v>1579</v>
      </c>
      <c r="K28" s="120"/>
      <c r="L28" s="120"/>
      <c r="M28" s="120"/>
      <c r="N28" s="120"/>
      <c r="O28" s="120"/>
      <c r="P28" s="120"/>
      <c r="Q28" s="120"/>
      <c r="R28" s="120"/>
      <c r="S28" s="120"/>
      <c r="T28" s="120"/>
      <c r="U28" s="120"/>
      <c r="V28" s="120"/>
    </row>
    <row r="29" spans="1:22">
      <c r="A29" s="120"/>
      <c r="B29" s="393" t="s">
        <v>1002</v>
      </c>
      <c r="C29" s="138" t="s">
        <v>1003</v>
      </c>
      <c r="D29" s="134" t="s">
        <v>1005</v>
      </c>
      <c r="E29" s="136" t="s">
        <v>1590</v>
      </c>
      <c r="F29" s="134" t="s">
        <v>1591</v>
      </c>
      <c r="G29" s="135" t="s">
        <v>1571</v>
      </c>
      <c r="H29" s="135"/>
      <c r="I29" s="135" t="s">
        <v>284</v>
      </c>
      <c r="J29" s="125"/>
      <c r="K29" s="120"/>
      <c r="L29" s="120"/>
      <c r="M29" s="120"/>
      <c r="N29" s="120"/>
      <c r="O29" s="120"/>
      <c r="P29" s="120"/>
      <c r="Q29" s="120"/>
      <c r="R29" s="120"/>
      <c r="S29" s="120"/>
      <c r="T29" s="120"/>
      <c r="U29" s="120"/>
      <c r="V29" s="120"/>
    </row>
    <row r="30" spans="1:22" ht="150">
      <c r="A30" s="120"/>
      <c r="B30" s="393"/>
      <c r="C30" s="138" t="s">
        <v>1006</v>
      </c>
      <c r="D30" s="135" t="s">
        <v>1008</v>
      </c>
      <c r="E30" s="136" t="s">
        <v>1592</v>
      </c>
      <c r="F30" s="134" t="s">
        <v>1593</v>
      </c>
      <c r="G30" s="135" t="s">
        <v>1571</v>
      </c>
      <c r="H30" s="138"/>
      <c r="I30" s="138" t="s">
        <v>1532</v>
      </c>
      <c r="J30" s="125"/>
      <c r="K30" s="120"/>
      <c r="L30" s="120"/>
      <c r="M30" s="120"/>
      <c r="N30" s="120"/>
      <c r="O30" s="120"/>
      <c r="P30" s="120"/>
      <c r="Q30" s="120"/>
      <c r="R30" s="120"/>
      <c r="S30" s="120"/>
      <c r="T30" s="120"/>
      <c r="U30" s="120"/>
      <c r="V30" s="120"/>
    </row>
    <row r="31" spans="1:22">
      <c r="A31" s="120"/>
      <c r="B31" s="393"/>
      <c r="C31" s="138" t="s">
        <v>1009</v>
      </c>
      <c r="D31" s="134" t="s">
        <v>1011</v>
      </c>
      <c r="E31" s="136" t="s">
        <v>1594</v>
      </c>
      <c r="F31" s="134" t="s">
        <v>1595</v>
      </c>
      <c r="G31" s="135" t="s">
        <v>1571</v>
      </c>
      <c r="H31" s="138"/>
      <c r="I31" s="138" t="s">
        <v>284</v>
      </c>
      <c r="J31" s="125"/>
      <c r="K31" s="120"/>
      <c r="L31" s="120"/>
      <c r="M31" s="120"/>
      <c r="N31" s="120"/>
      <c r="O31" s="120"/>
      <c r="P31" s="120"/>
      <c r="Q31" s="120"/>
      <c r="R31" s="120"/>
      <c r="S31" s="120"/>
      <c r="T31" s="120"/>
      <c r="U31" s="120"/>
      <c r="V31" s="120"/>
    </row>
    <row r="32" spans="1:22" ht="45">
      <c r="A32" s="120"/>
      <c r="B32" s="393" t="s">
        <v>1012</v>
      </c>
      <c r="C32" s="138" t="s">
        <v>1013</v>
      </c>
      <c r="D32" s="135" t="s">
        <v>1015</v>
      </c>
      <c r="E32" s="136" t="s">
        <v>1596</v>
      </c>
      <c r="F32" s="135" t="s">
        <v>1597</v>
      </c>
      <c r="G32" s="135" t="s">
        <v>1571</v>
      </c>
      <c r="H32" s="138" t="s">
        <v>1598</v>
      </c>
      <c r="I32" s="138" t="s">
        <v>1532</v>
      </c>
      <c r="J32" s="125" t="s">
        <v>1579</v>
      </c>
      <c r="K32" s="120"/>
      <c r="L32" s="120"/>
      <c r="M32" s="120"/>
      <c r="N32" s="120"/>
      <c r="O32" s="120"/>
      <c r="P32" s="120"/>
      <c r="Q32" s="120"/>
      <c r="R32" s="120"/>
      <c r="S32" s="120"/>
      <c r="T32" s="120"/>
      <c r="U32" s="120"/>
      <c r="V32" s="120"/>
    </row>
    <row r="33" spans="1:22">
      <c r="A33" s="120"/>
      <c r="B33" s="393"/>
      <c r="C33" s="138" t="s">
        <v>1016</v>
      </c>
      <c r="D33" s="134" t="s">
        <v>1018</v>
      </c>
      <c r="E33" s="136" t="s">
        <v>1599</v>
      </c>
      <c r="F33" s="135" t="s">
        <v>1597</v>
      </c>
      <c r="G33" s="135" t="s">
        <v>1571</v>
      </c>
      <c r="H33" s="138"/>
      <c r="I33" s="138" t="s">
        <v>284</v>
      </c>
      <c r="J33" s="125"/>
      <c r="K33" s="120"/>
      <c r="L33" s="120"/>
      <c r="M33" s="120"/>
      <c r="N33" s="120"/>
      <c r="O33" s="120"/>
      <c r="P33" s="120"/>
      <c r="Q33" s="120"/>
      <c r="R33" s="120"/>
      <c r="S33" s="120"/>
      <c r="T33" s="120"/>
      <c r="U33" s="120"/>
      <c r="V33" s="120"/>
    </row>
    <row r="34" spans="1:22">
      <c r="A34" s="120"/>
      <c r="B34" s="393"/>
      <c r="C34" s="138" t="s">
        <v>1019</v>
      </c>
      <c r="D34" s="134" t="s">
        <v>1018</v>
      </c>
      <c r="E34" s="136" t="s">
        <v>1600</v>
      </c>
      <c r="F34" s="135" t="s">
        <v>1597</v>
      </c>
      <c r="G34" s="135" t="s">
        <v>1571</v>
      </c>
      <c r="H34" s="138"/>
      <c r="I34" s="138" t="s">
        <v>284</v>
      </c>
      <c r="J34" s="125"/>
      <c r="K34" s="120"/>
      <c r="L34" s="120"/>
      <c r="M34" s="120"/>
      <c r="N34" s="120"/>
      <c r="O34" s="120"/>
      <c r="P34" s="120"/>
      <c r="Q34" s="120"/>
      <c r="R34" s="120"/>
      <c r="S34" s="120"/>
      <c r="T34" s="120"/>
      <c r="U34" s="120"/>
      <c r="V34" s="120"/>
    </row>
    <row r="35" spans="1:22" ht="45">
      <c r="A35" s="120"/>
      <c r="B35" s="393"/>
      <c r="C35" s="138" t="s">
        <v>1021</v>
      </c>
      <c r="D35" s="134" t="s">
        <v>1023</v>
      </c>
      <c r="E35" s="136" t="s">
        <v>1601</v>
      </c>
      <c r="F35" s="134" t="s">
        <v>284</v>
      </c>
      <c r="G35" s="135" t="s">
        <v>1602</v>
      </c>
      <c r="H35" s="138" t="s">
        <v>1598</v>
      </c>
      <c r="I35" s="138" t="s">
        <v>284</v>
      </c>
      <c r="J35" s="125"/>
      <c r="K35" s="120"/>
      <c r="L35" s="120"/>
      <c r="M35" s="120"/>
      <c r="N35" s="120"/>
      <c r="O35" s="120"/>
      <c r="P35" s="120"/>
      <c r="Q35" s="120"/>
      <c r="R35" s="120"/>
      <c r="S35" s="120"/>
      <c r="T35" s="120"/>
      <c r="U35" s="120"/>
      <c r="V35" s="120"/>
    </row>
    <row r="36" spans="1:22" ht="409.5">
      <c r="A36" s="120"/>
      <c r="B36" s="393"/>
      <c r="C36" s="138" t="s">
        <v>1024</v>
      </c>
      <c r="D36" s="135" t="s">
        <v>1026</v>
      </c>
      <c r="E36" s="136" t="s">
        <v>1603</v>
      </c>
      <c r="F36" s="135" t="s">
        <v>284</v>
      </c>
      <c r="G36" s="135" t="s">
        <v>1602</v>
      </c>
      <c r="H36" s="138" t="s">
        <v>1604</v>
      </c>
      <c r="I36" s="128" t="s">
        <v>1605</v>
      </c>
      <c r="J36" s="125" t="s">
        <v>1554</v>
      </c>
      <c r="K36" s="120"/>
      <c r="L36" s="120"/>
      <c r="M36" s="120"/>
      <c r="N36" s="120"/>
      <c r="O36" s="120"/>
      <c r="P36" s="120"/>
      <c r="Q36" s="120"/>
      <c r="R36" s="120"/>
      <c r="S36" s="120"/>
      <c r="T36" s="120"/>
      <c r="U36" s="120"/>
      <c r="V36" s="120"/>
    </row>
    <row r="37" spans="1:22">
      <c r="A37" s="120"/>
      <c r="B37" s="120"/>
      <c r="C37" s="120"/>
      <c r="D37" s="120"/>
      <c r="E37" s="120"/>
      <c r="F37" s="120"/>
      <c r="G37" s="120"/>
      <c r="H37" s="120"/>
      <c r="I37" s="120"/>
      <c r="J37" s="121"/>
      <c r="K37" s="120"/>
      <c r="L37" s="120"/>
      <c r="M37" s="120"/>
      <c r="N37" s="120"/>
      <c r="O37" s="120"/>
      <c r="P37" s="120"/>
      <c r="Q37" s="120"/>
      <c r="R37" s="120"/>
      <c r="S37" s="120"/>
      <c r="T37" s="120"/>
      <c r="U37" s="120"/>
      <c r="V37" s="120"/>
    </row>
  </sheetData>
  <mergeCells count="9">
    <mergeCell ref="B25:B28"/>
    <mergeCell ref="B29:B31"/>
    <mergeCell ref="B32:B36"/>
    <mergeCell ref="B3:B9"/>
    <mergeCell ref="M5:U7"/>
    <mergeCell ref="B10:B12"/>
    <mergeCell ref="B15:B18"/>
    <mergeCell ref="B20:B21"/>
    <mergeCell ref="B22:B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C47B-E781-4D25-9948-D9DA3A1A6B8E}">
  <dimension ref="A1:D33"/>
  <sheetViews>
    <sheetView topLeftCell="A30" workbookViewId="0">
      <selection activeCell="J4" sqref="J4"/>
    </sheetView>
  </sheetViews>
  <sheetFormatPr defaultRowHeight="15"/>
  <cols>
    <col min="2" max="2" width="43.140625" bestFit="1" customWidth="1"/>
    <col min="4" max="4" width="12" bestFit="1" customWidth="1"/>
  </cols>
  <sheetData>
    <row r="1" spans="1:4">
      <c r="A1" s="107" t="s">
        <v>164</v>
      </c>
      <c r="B1" s="108" t="s">
        <v>176</v>
      </c>
      <c r="C1" s="107" t="s">
        <v>923</v>
      </c>
      <c r="D1" s="139" t="s">
        <v>1606</v>
      </c>
    </row>
    <row r="2" spans="1:4" ht="30">
      <c r="A2" s="113" t="s">
        <v>938</v>
      </c>
      <c r="B2" s="113" t="s">
        <v>939</v>
      </c>
      <c r="C2" s="140" t="s">
        <v>940</v>
      </c>
      <c r="D2" s="100" t="s">
        <v>1607</v>
      </c>
    </row>
    <row r="3" spans="1:4" ht="30">
      <c r="A3" s="113" t="s">
        <v>941</v>
      </c>
      <c r="B3" s="113" t="s">
        <v>942</v>
      </c>
      <c r="C3" s="141" t="s">
        <v>943</v>
      </c>
      <c r="D3" s="100" t="s">
        <v>1607</v>
      </c>
    </row>
    <row r="4" spans="1:4" ht="30">
      <c r="A4" s="114" t="s">
        <v>944</v>
      </c>
      <c r="B4" s="113" t="s">
        <v>945</v>
      </c>
      <c r="C4" s="141" t="s">
        <v>946</v>
      </c>
      <c r="D4" s="100" t="s">
        <v>1607</v>
      </c>
    </row>
    <row r="5" spans="1:4" ht="30">
      <c r="A5" s="114" t="s">
        <v>948</v>
      </c>
      <c r="B5" s="113" t="s">
        <v>949</v>
      </c>
      <c r="C5" s="141" t="s">
        <v>950</v>
      </c>
      <c r="D5" s="100" t="s">
        <v>1608</v>
      </c>
    </row>
    <row r="6" spans="1:4" ht="75">
      <c r="A6" s="114" t="s">
        <v>952</v>
      </c>
      <c r="B6" s="113" t="s">
        <v>953</v>
      </c>
      <c r="C6" s="141" t="s">
        <v>954</v>
      </c>
      <c r="D6" s="100" t="s">
        <v>1607</v>
      </c>
    </row>
    <row r="7" spans="1:4" ht="315">
      <c r="A7" s="113" t="s">
        <v>956</v>
      </c>
      <c r="B7" s="113" t="s">
        <v>957</v>
      </c>
      <c r="C7" s="141" t="s">
        <v>958</v>
      </c>
      <c r="D7" s="100" t="s">
        <v>1607</v>
      </c>
    </row>
    <row r="8" spans="1:4" ht="240">
      <c r="A8" s="114" t="s">
        <v>959</v>
      </c>
      <c r="B8" s="113" t="s">
        <v>960</v>
      </c>
      <c r="C8" s="141" t="s">
        <v>961</v>
      </c>
      <c r="D8" s="100" t="s">
        <v>1607</v>
      </c>
    </row>
    <row r="9" spans="1:4" ht="285">
      <c r="A9" s="113" t="s">
        <v>962</v>
      </c>
      <c r="B9" s="113" t="s">
        <v>963</v>
      </c>
      <c r="C9" s="141" t="s">
        <v>964</v>
      </c>
      <c r="D9" s="100" t="s">
        <v>1607</v>
      </c>
    </row>
    <row r="10" spans="1:4" ht="165">
      <c r="A10" s="113" t="s">
        <v>965</v>
      </c>
      <c r="B10" s="113" t="s">
        <v>966</v>
      </c>
      <c r="C10" s="141" t="s">
        <v>967</v>
      </c>
      <c r="D10" s="100" t="s">
        <v>1607</v>
      </c>
    </row>
    <row r="11" spans="1:4" ht="285">
      <c r="A11" s="113" t="s">
        <v>969</v>
      </c>
      <c r="B11" s="113" t="s">
        <v>970</v>
      </c>
      <c r="C11" s="141" t="s">
        <v>971</v>
      </c>
      <c r="D11" s="100" t="s">
        <v>1607</v>
      </c>
    </row>
    <row r="12" spans="1:4">
      <c r="A12" s="114" t="s">
        <v>973</v>
      </c>
      <c r="B12" s="113" t="s">
        <v>974</v>
      </c>
      <c r="C12" s="140" t="s">
        <v>975</v>
      </c>
      <c r="D12" s="100" t="s">
        <v>1608</v>
      </c>
    </row>
    <row r="13" spans="1:4">
      <c r="A13" s="113" t="s">
        <v>976</v>
      </c>
      <c r="B13" s="110" t="s">
        <v>977</v>
      </c>
      <c r="C13" s="140" t="s">
        <v>978</v>
      </c>
      <c r="D13" s="100" t="s">
        <v>1607</v>
      </c>
    </row>
    <row r="14" spans="1:4" ht="90">
      <c r="A14" s="115" t="s">
        <v>980</v>
      </c>
      <c r="B14" s="116" t="s">
        <v>981</v>
      </c>
      <c r="C14" s="142" t="s">
        <v>982</v>
      </c>
      <c r="D14" s="100" t="s">
        <v>1607</v>
      </c>
    </row>
    <row r="15" spans="1:4" ht="75">
      <c r="A15" s="115" t="s">
        <v>983</v>
      </c>
      <c r="B15" s="116" t="s">
        <v>984</v>
      </c>
      <c r="C15" s="142" t="s">
        <v>985</v>
      </c>
      <c r="D15" s="100" t="s">
        <v>1607</v>
      </c>
    </row>
    <row r="16" spans="1:4" ht="30">
      <c r="A16" s="115" t="s">
        <v>986</v>
      </c>
      <c r="B16" s="116" t="s">
        <v>987</v>
      </c>
      <c r="C16" s="142" t="s">
        <v>988</v>
      </c>
      <c r="D16" s="100" t="s">
        <v>1607</v>
      </c>
    </row>
    <row r="17" spans="1:4" ht="30">
      <c r="A17" s="115" t="s">
        <v>990</v>
      </c>
      <c r="B17" s="116" t="s">
        <v>991</v>
      </c>
      <c r="C17" s="142" t="s">
        <v>992</v>
      </c>
      <c r="D17" s="100" t="s">
        <v>1607</v>
      </c>
    </row>
    <row r="18" spans="1:4" ht="45">
      <c r="A18" s="115" t="s">
        <v>993</v>
      </c>
      <c r="B18" s="116" t="s">
        <v>994</v>
      </c>
      <c r="C18" s="142" t="s">
        <v>995</v>
      </c>
      <c r="D18" s="100" t="s">
        <v>1607</v>
      </c>
    </row>
    <row r="19" spans="1:4">
      <c r="A19" s="115" t="s">
        <v>996</v>
      </c>
      <c r="B19" s="116" t="s">
        <v>997</v>
      </c>
      <c r="C19" s="143" t="s">
        <v>998</v>
      </c>
      <c r="D19" s="100" t="s">
        <v>1607</v>
      </c>
    </row>
    <row r="20" spans="1:4" ht="75">
      <c r="A20" s="115" t="s">
        <v>999</v>
      </c>
      <c r="B20" s="116" t="s">
        <v>1000</v>
      </c>
      <c r="C20" s="142" t="s">
        <v>1001</v>
      </c>
      <c r="D20" s="100" t="s">
        <v>1607</v>
      </c>
    </row>
    <row r="21" spans="1:4">
      <c r="A21" s="117" t="s">
        <v>1003</v>
      </c>
      <c r="B21" s="116" t="s">
        <v>1004</v>
      </c>
      <c r="C21" s="143" t="s">
        <v>1005</v>
      </c>
      <c r="D21" s="100" t="s">
        <v>1607</v>
      </c>
    </row>
    <row r="22" spans="1:4" ht="150">
      <c r="A22" s="117" t="s">
        <v>1006</v>
      </c>
      <c r="B22" s="117" t="s">
        <v>1007</v>
      </c>
      <c r="C22" s="142" t="s">
        <v>1008</v>
      </c>
      <c r="D22" s="100" t="s">
        <v>1607</v>
      </c>
    </row>
    <row r="23" spans="1:4">
      <c r="A23" s="117" t="s">
        <v>1009</v>
      </c>
      <c r="B23" s="117" t="s">
        <v>1010</v>
      </c>
      <c r="C23" s="143" t="s">
        <v>1011</v>
      </c>
      <c r="D23" s="100" t="s">
        <v>1607</v>
      </c>
    </row>
    <row r="24" spans="1:4" ht="30">
      <c r="A24" s="117" t="s">
        <v>1013</v>
      </c>
      <c r="B24" s="117" t="s">
        <v>1014</v>
      </c>
      <c r="C24" s="142" t="s">
        <v>1015</v>
      </c>
      <c r="D24" s="100" t="s">
        <v>1607</v>
      </c>
    </row>
    <row r="25" spans="1:4" ht="30">
      <c r="A25" s="117" t="s">
        <v>1016</v>
      </c>
      <c r="B25" s="117" t="s">
        <v>1017</v>
      </c>
      <c r="C25" s="143" t="s">
        <v>1018</v>
      </c>
      <c r="D25" s="100" t="s">
        <v>1607</v>
      </c>
    </row>
    <row r="26" spans="1:4" ht="30">
      <c r="A26" s="117" t="s">
        <v>1019</v>
      </c>
      <c r="B26" s="117" t="s">
        <v>1020</v>
      </c>
      <c r="C26" s="143" t="s">
        <v>1018</v>
      </c>
      <c r="D26" s="100" t="s">
        <v>1607</v>
      </c>
    </row>
    <row r="27" spans="1:4">
      <c r="A27" s="117" t="s">
        <v>1021</v>
      </c>
      <c r="B27" s="117" t="s">
        <v>1022</v>
      </c>
      <c r="C27" s="143" t="s">
        <v>1023</v>
      </c>
      <c r="D27" s="100" t="s">
        <v>1608</v>
      </c>
    </row>
    <row r="28" spans="1:4" ht="210">
      <c r="A28" s="117" t="s">
        <v>1024</v>
      </c>
      <c r="B28" s="117" t="s">
        <v>1025</v>
      </c>
      <c r="C28" s="142" t="s">
        <v>1026</v>
      </c>
      <c r="D28" s="100" t="s">
        <v>1607</v>
      </c>
    </row>
    <row r="29" spans="1:4">
      <c r="A29" s="216" t="s">
        <v>1028</v>
      </c>
      <c r="B29" s="117" t="s">
        <v>1029</v>
      </c>
      <c r="C29" s="144" t="s">
        <v>1030</v>
      </c>
      <c r="D29" s="100" t="s">
        <v>284</v>
      </c>
    </row>
    <row r="30" spans="1:4">
      <c r="A30" s="216" t="s">
        <v>1031</v>
      </c>
      <c r="B30" s="118" t="s">
        <v>947</v>
      </c>
      <c r="C30" s="144" t="s">
        <v>1032</v>
      </c>
      <c r="D30" s="100" t="s">
        <v>284</v>
      </c>
    </row>
    <row r="31" spans="1:4">
      <c r="A31" s="216" t="s">
        <v>1033</v>
      </c>
      <c r="B31" s="118" t="s">
        <v>1034</v>
      </c>
      <c r="C31" s="144" t="s">
        <v>1035</v>
      </c>
      <c r="D31" s="100" t="s">
        <v>284</v>
      </c>
    </row>
    <row r="32" spans="1:4">
      <c r="A32" s="217" t="s">
        <v>1036</v>
      </c>
      <c r="B32" s="145" t="s">
        <v>1037</v>
      </c>
      <c r="C32" s="144" t="s">
        <v>1038</v>
      </c>
      <c r="D32" s="100" t="s">
        <v>284</v>
      </c>
    </row>
    <row r="33" spans="1:4">
      <c r="A33" s="216" t="s">
        <v>1039</v>
      </c>
      <c r="B33" s="118" t="s">
        <v>1040</v>
      </c>
      <c r="C33" s="144" t="s">
        <v>1041</v>
      </c>
      <c r="D33" s="100" t="s">
        <v>284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03CD-38B4-4B5A-84AF-9B2C70BC3EAA}">
  <dimension ref="A1:F140"/>
  <sheetViews>
    <sheetView workbookViewId="0">
      <selection activeCell="D4" sqref="D4"/>
    </sheetView>
  </sheetViews>
  <sheetFormatPr defaultRowHeight="15"/>
  <cols>
    <col min="2" max="2" width="14" bestFit="1" customWidth="1"/>
    <col min="3" max="6" width="14.28515625" bestFit="1" customWidth="1"/>
  </cols>
  <sheetData>
    <row r="1" spans="1:6">
      <c r="A1" s="240" t="s">
        <v>1042</v>
      </c>
      <c r="B1" s="241" t="s">
        <v>1609</v>
      </c>
      <c r="C1" s="241" t="s">
        <v>1610</v>
      </c>
      <c r="D1" s="241" t="s">
        <v>1611</v>
      </c>
      <c r="E1" s="241" t="s">
        <v>1612</v>
      </c>
      <c r="F1" s="241" t="s">
        <v>1613</v>
      </c>
    </row>
    <row r="2" spans="1:6">
      <c r="A2" s="397" t="s">
        <v>1614</v>
      </c>
      <c r="B2" s="398" t="s">
        <v>1207</v>
      </c>
      <c r="C2" s="413" t="s">
        <v>1423</v>
      </c>
      <c r="D2" s="146" t="s">
        <v>1464</v>
      </c>
      <c r="E2" s="146" t="s">
        <v>284</v>
      </c>
      <c r="F2" s="146" t="s">
        <v>1615</v>
      </c>
    </row>
    <row r="3" spans="1:6">
      <c r="A3" s="397"/>
      <c r="B3" s="396"/>
      <c r="C3" s="414"/>
      <c r="D3" s="146" t="s">
        <v>1410</v>
      </c>
      <c r="E3" s="146" t="s">
        <v>284</v>
      </c>
      <c r="F3" s="146" t="s">
        <v>1615</v>
      </c>
    </row>
    <row r="4" spans="1:6">
      <c r="A4" s="397"/>
      <c r="B4" s="396"/>
      <c r="C4" s="414"/>
      <c r="D4" s="146" t="s">
        <v>1408</v>
      </c>
      <c r="E4" s="146" t="s">
        <v>284</v>
      </c>
      <c r="F4" s="146" t="s">
        <v>1615</v>
      </c>
    </row>
    <row r="5" spans="1:6">
      <c r="A5" s="397"/>
      <c r="B5" s="396"/>
      <c r="C5" s="414"/>
      <c r="D5" s="146" t="s">
        <v>1406</v>
      </c>
      <c r="E5" s="146" t="s">
        <v>284</v>
      </c>
      <c r="F5" s="146" t="s">
        <v>1615</v>
      </c>
    </row>
    <row r="6" spans="1:6">
      <c r="A6" s="397"/>
      <c r="B6" s="396"/>
      <c r="C6" s="414"/>
      <c r="D6" s="146" t="s">
        <v>1411</v>
      </c>
      <c r="E6" s="146" t="s">
        <v>284</v>
      </c>
      <c r="F6" s="146" t="s">
        <v>1615</v>
      </c>
    </row>
    <row r="7" spans="1:6">
      <c r="A7" s="397"/>
      <c r="B7" s="396"/>
      <c r="C7" s="414"/>
      <c r="D7" s="146" t="s">
        <v>1413</v>
      </c>
      <c r="E7" s="146" t="s">
        <v>284</v>
      </c>
      <c r="F7" s="146" t="s">
        <v>1615</v>
      </c>
    </row>
    <row r="8" spans="1:6">
      <c r="A8" s="397"/>
      <c r="B8" s="396"/>
      <c r="C8" s="414"/>
      <c r="D8" s="146" t="s">
        <v>1412</v>
      </c>
      <c r="E8" s="146" t="s">
        <v>284</v>
      </c>
      <c r="F8" s="146" t="s">
        <v>1615</v>
      </c>
    </row>
    <row r="9" spans="1:6">
      <c r="A9" s="397"/>
      <c r="B9" s="396"/>
      <c r="C9" s="414"/>
      <c r="D9" s="400" t="s">
        <v>1424</v>
      </c>
      <c r="E9" s="146" t="s">
        <v>1417</v>
      </c>
      <c r="F9" s="146" t="s">
        <v>284</v>
      </c>
    </row>
    <row r="10" spans="1:6">
      <c r="A10" s="397"/>
      <c r="B10" s="396"/>
      <c r="C10" s="414"/>
      <c r="D10" s="401"/>
      <c r="E10" s="146" t="s">
        <v>1418</v>
      </c>
      <c r="F10" s="146" t="s">
        <v>284</v>
      </c>
    </row>
    <row r="11" spans="1:6">
      <c r="A11" s="397"/>
      <c r="B11" s="396"/>
      <c r="C11" s="414"/>
      <c r="D11" s="401"/>
      <c r="E11" s="146" t="s">
        <v>1476</v>
      </c>
      <c r="F11" s="146" t="s">
        <v>284</v>
      </c>
    </row>
    <row r="12" spans="1:6">
      <c r="A12" s="397"/>
      <c r="B12" s="396"/>
      <c r="C12" s="414"/>
      <c r="D12" s="401"/>
      <c r="E12" s="146" t="s">
        <v>1416</v>
      </c>
      <c r="F12" s="146" t="s">
        <v>284</v>
      </c>
    </row>
    <row r="13" spans="1:6">
      <c r="A13" s="397"/>
      <c r="B13" s="396"/>
      <c r="C13" s="414"/>
      <c r="D13" s="401"/>
      <c r="E13" s="146" t="s">
        <v>1414</v>
      </c>
      <c r="F13" s="146" t="s">
        <v>284</v>
      </c>
    </row>
    <row r="14" spans="1:6">
      <c r="A14" s="397"/>
      <c r="B14" s="396"/>
      <c r="C14" s="414"/>
      <c r="D14" s="402"/>
      <c r="E14" s="146" t="s">
        <v>1415</v>
      </c>
      <c r="F14" s="146" t="s">
        <v>284</v>
      </c>
    </row>
    <row r="15" spans="1:6">
      <c r="A15" s="397"/>
      <c r="B15" s="396"/>
      <c r="C15" s="414"/>
      <c r="D15" s="146" t="s">
        <v>1476</v>
      </c>
      <c r="E15" s="146" t="s">
        <v>284</v>
      </c>
      <c r="F15" s="146" t="s">
        <v>1615</v>
      </c>
    </row>
    <row r="16" spans="1:6">
      <c r="A16" s="397"/>
      <c r="B16" s="396"/>
      <c r="C16" s="414"/>
      <c r="D16" s="146" t="s">
        <v>1407</v>
      </c>
      <c r="E16" s="146" t="s">
        <v>284</v>
      </c>
      <c r="F16" s="146" t="s">
        <v>1615</v>
      </c>
    </row>
    <row r="17" spans="1:6">
      <c r="A17" s="397"/>
      <c r="B17" s="396"/>
      <c r="C17" s="415"/>
      <c r="D17" s="146" t="s">
        <v>1409</v>
      </c>
      <c r="E17" s="146" t="s">
        <v>284</v>
      </c>
      <c r="F17" s="146" t="s">
        <v>1615</v>
      </c>
    </row>
    <row r="18" spans="1:6">
      <c r="A18" s="397"/>
      <c r="B18" s="396"/>
      <c r="C18" s="400" t="s">
        <v>1419</v>
      </c>
      <c r="D18" s="146" t="s">
        <v>1389</v>
      </c>
      <c r="E18" s="146" t="s">
        <v>284</v>
      </c>
      <c r="F18" s="146" t="s">
        <v>284</v>
      </c>
    </row>
    <row r="19" spans="1:6">
      <c r="A19" s="397"/>
      <c r="B19" s="396"/>
      <c r="C19" s="401"/>
      <c r="D19" s="146" t="s">
        <v>1390</v>
      </c>
      <c r="E19" s="146" t="s">
        <v>284</v>
      </c>
      <c r="F19" s="146" t="s">
        <v>284</v>
      </c>
    </row>
    <row r="20" spans="1:6">
      <c r="A20" s="397"/>
      <c r="B20" s="396"/>
      <c r="C20" s="401"/>
      <c r="D20" s="146" t="s">
        <v>1392</v>
      </c>
      <c r="E20" s="146" t="s">
        <v>284</v>
      </c>
      <c r="F20" s="146" t="s">
        <v>284</v>
      </c>
    </row>
    <row r="21" spans="1:6">
      <c r="A21" s="397"/>
      <c r="B21" s="396"/>
      <c r="C21" s="401"/>
      <c r="D21" s="146" t="s">
        <v>1391</v>
      </c>
      <c r="E21" s="146" t="s">
        <v>284</v>
      </c>
      <c r="F21" s="146" t="s">
        <v>284</v>
      </c>
    </row>
    <row r="22" spans="1:6">
      <c r="A22" s="397"/>
      <c r="B22" s="396"/>
      <c r="C22" s="401"/>
      <c r="D22" s="400" t="s">
        <v>1420</v>
      </c>
      <c r="E22" s="146" t="s">
        <v>1395</v>
      </c>
      <c r="F22" s="146" t="s">
        <v>284</v>
      </c>
    </row>
    <row r="23" spans="1:6">
      <c r="A23" s="397"/>
      <c r="B23" s="396"/>
      <c r="C23" s="401"/>
      <c r="D23" s="401"/>
      <c r="E23" s="146" t="s">
        <v>1396</v>
      </c>
      <c r="F23" s="146" t="s">
        <v>284</v>
      </c>
    </row>
    <row r="24" spans="1:6">
      <c r="A24" s="397"/>
      <c r="B24" s="396"/>
      <c r="C24" s="401"/>
      <c r="D24" s="401"/>
      <c r="E24" s="146" t="s">
        <v>1397</v>
      </c>
      <c r="F24" s="146" t="s">
        <v>284</v>
      </c>
    </row>
    <row r="25" spans="1:6">
      <c r="A25" s="397"/>
      <c r="B25" s="396"/>
      <c r="C25" s="401"/>
      <c r="D25" s="401"/>
      <c r="E25" s="146" t="s">
        <v>1398</v>
      </c>
      <c r="F25" s="146" t="s">
        <v>284</v>
      </c>
    </row>
    <row r="26" spans="1:6">
      <c r="A26" s="397"/>
      <c r="B26" s="396"/>
      <c r="C26" s="401"/>
      <c r="D26" s="402"/>
      <c r="E26" s="146" t="s">
        <v>1399</v>
      </c>
      <c r="F26" s="146" t="s">
        <v>284</v>
      </c>
    </row>
    <row r="27" spans="1:6">
      <c r="A27" s="397"/>
      <c r="B27" s="396"/>
      <c r="C27" s="401"/>
      <c r="D27" s="400" t="s">
        <v>1421</v>
      </c>
      <c r="E27" s="146" t="s">
        <v>1406</v>
      </c>
      <c r="F27" s="146" t="s">
        <v>284</v>
      </c>
    </row>
    <row r="28" spans="1:6">
      <c r="A28" s="397"/>
      <c r="B28" s="396"/>
      <c r="C28" s="401"/>
      <c r="D28" s="401"/>
      <c r="E28" s="146" t="s">
        <v>1404</v>
      </c>
      <c r="F28" s="146" t="s">
        <v>284</v>
      </c>
    </row>
    <row r="29" spans="1:6">
      <c r="A29" s="397"/>
      <c r="B29" s="396"/>
      <c r="C29" s="401"/>
      <c r="D29" s="401"/>
      <c r="E29" s="146" t="s">
        <v>1402</v>
      </c>
      <c r="F29" s="146" t="s">
        <v>284</v>
      </c>
    </row>
    <row r="30" spans="1:6">
      <c r="A30" s="397"/>
      <c r="B30" s="396"/>
      <c r="C30" s="401"/>
      <c r="D30" s="401"/>
      <c r="E30" s="146" t="s">
        <v>1476</v>
      </c>
      <c r="F30" s="146" t="s">
        <v>284</v>
      </c>
    </row>
    <row r="31" spans="1:6">
      <c r="A31" s="397"/>
      <c r="B31" s="396"/>
      <c r="C31" s="401"/>
      <c r="D31" s="401"/>
      <c r="E31" s="146" t="s">
        <v>1422</v>
      </c>
      <c r="F31" s="146" t="s">
        <v>1459</v>
      </c>
    </row>
    <row r="32" spans="1:6">
      <c r="A32" s="397"/>
      <c r="B32" s="396"/>
      <c r="C32" s="401"/>
      <c r="D32" s="402"/>
      <c r="E32" s="146" t="s">
        <v>1405</v>
      </c>
      <c r="F32" s="146" t="s">
        <v>284</v>
      </c>
    </row>
    <row r="33" spans="1:6">
      <c r="A33" s="397"/>
      <c r="B33" s="396"/>
      <c r="C33" s="401"/>
      <c r="D33" s="146" t="s">
        <v>1393</v>
      </c>
      <c r="E33" s="146" t="s">
        <v>284</v>
      </c>
      <c r="F33" s="146" t="s">
        <v>284</v>
      </c>
    </row>
    <row r="34" spans="1:6">
      <c r="A34" s="397"/>
      <c r="B34" s="396"/>
      <c r="C34" s="402"/>
      <c r="D34" s="146" t="s">
        <v>1394</v>
      </c>
      <c r="E34" s="146" t="s">
        <v>284</v>
      </c>
      <c r="F34" s="146" t="s">
        <v>284</v>
      </c>
    </row>
    <row r="35" spans="1:6">
      <c r="A35" s="397"/>
      <c r="B35" s="396"/>
      <c r="C35" s="146" t="s">
        <v>1477</v>
      </c>
      <c r="D35" s="146" t="s">
        <v>284</v>
      </c>
      <c r="E35" s="146" t="s">
        <v>284</v>
      </c>
      <c r="F35" s="146" t="s">
        <v>284</v>
      </c>
    </row>
    <row r="36" spans="1:6">
      <c r="A36" s="397"/>
      <c r="B36" s="396"/>
      <c r="C36" s="146" t="s">
        <v>1470</v>
      </c>
      <c r="D36" s="146" t="s">
        <v>284</v>
      </c>
      <c r="E36" s="146" t="s">
        <v>284</v>
      </c>
      <c r="F36" s="146" t="s">
        <v>284</v>
      </c>
    </row>
    <row r="37" spans="1:6">
      <c r="A37" s="397"/>
      <c r="B37" s="396"/>
      <c r="C37" s="146" t="s">
        <v>1383</v>
      </c>
      <c r="D37" s="146" t="s">
        <v>284</v>
      </c>
      <c r="E37" s="146" t="s">
        <v>284</v>
      </c>
      <c r="F37" s="146" t="s">
        <v>284</v>
      </c>
    </row>
    <row r="38" spans="1:6">
      <c r="A38" s="397"/>
      <c r="B38" s="396"/>
      <c r="C38" s="146" t="s">
        <v>1385</v>
      </c>
      <c r="D38" s="146" t="s">
        <v>284</v>
      </c>
      <c r="E38" s="146" t="s">
        <v>284</v>
      </c>
      <c r="F38" s="146" t="s">
        <v>284</v>
      </c>
    </row>
    <row r="39" spans="1:6">
      <c r="A39" s="397"/>
      <c r="B39" s="396"/>
      <c r="C39" s="146" t="s">
        <v>1475</v>
      </c>
      <c r="D39" s="146" t="s">
        <v>284</v>
      </c>
      <c r="E39" s="146" t="s">
        <v>284</v>
      </c>
      <c r="F39" s="146" t="s">
        <v>284</v>
      </c>
    </row>
    <row r="40" spans="1:6">
      <c r="A40" s="397"/>
      <c r="B40" s="396"/>
      <c r="C40" s="146" t="s">
        <v>1386</v>
      </c>
      <c r="D40" s="146" t="s">
        <v>284</v>
      </c>
      <c r="E40" s="146" t="s">
        <v>284</v>
      </c>
      <c r="F40" s="146" t="s">
        <v>284</v>
      </c>
    </row>
    <row r="41" spans="1:6">
      <c r="A41" s="397"/>
      <c r="B41" s="396"/>
      <c r="C41" s="146" t="s">
        <v>1387</v>
      </c>
      <c r="D41" s="146" t="s">
        <v>284</v>
      </c>
      <c r="E41" s="146" t="s">
        <v>284</v>
      </c>
      <c r="F41" s="146" t="s">
        <v>284</v>
      </c>
    </row>
    <row r="42" spans="1:6">
      <c r="A42" s="397"/>
      <c r="B42" s="399"/>
      <c r="C42" s="146" t="s">
        <v>1388</v>
      </c>
      <c r="D42" s="146" t="s">
        <v>284</v>
      </c>
      <c r="E42" s="146" t="s">
        <v>284</v>
      </c>
      <c r="F42" s="146" t="s">
        <v>284</v>
      </c>
    </row>
    <row r="43" spans="1:6">
      <c r="A43" s="397"/>
      <c r="B43" s="400" t="s">
        <v>1221</v>
      </c>
      <c r="C43" s="146" t="s">
        <v>1422</v>
      </c>
      <c r="D43" s="146" t="s">
        <v>1459</v>
      </c>
      <c r="E43" s="146" t="s">
        <v>284</v>
      </c>
      <c r="F43" s="146" t="s">
        <v>284</v>
      </c>
    </row>
    <row r="44" spans="1:6">
      <c r="A44" s="397"/>
      <c r="B44" s="401"/>
      <c r="C44" s="400" t="s">
        <v>1419</v>
      </c>
      <c r="D44" s="146" t="s">
        <v>1394</v>
      </c>
      <c r="E44" s="146" t="s">
        <v>284</v>
      </c>
      <c r="F44" s="146" t="s">
        <v>284</v>
      </c>
    </row>
    <row r="45" spans="1:6">
      <c r="A45" s="397"/>
      <c r="B45" s="401"/>
      <c r="C45" s="401"/>
      <c r="D45" s="146" t="s">
        <v>1393</v>
      </c>
      <c r="E45" s="146" t="s">
        <v>284</v>
      </c>
      <c r="F45" s="146" t="s">
        <v>284</v>
      </c>
    </row>
    <row r="46" spans="1:6">
      <c r="A46" s="397"/>
      <c r="B46" s="401"/>
      <c r="C46" s="401"/>
      <c r="D46" s="400" t="s">
        <v>1421</v>
      </c>
      <c r="E46" s="146" t="s">
        <v>1406</v>
      </c>
      <c r="F46" s="146" t="s">
        <v>284</v>
      </c>
    </row>
    <row r="47" spans="1:6">
      <c r="A47" s="397"/>
      <c r="B47" s="401"/>
      <c r="C47" s="401"/>
      <c r="D47" s="401"/>
      <c r="E47" s="146" t="s">
        <v>1404</v>
      </c>
      <c r="F47" s="146" t="s">
        <v>284</v>
      </c>
    </row>
    <row r="48" spans="1:6">
      <c r="A48" s="397"/>
      <c r="B48" s="401"/>
      <c r="C48" s="401"/>
      <c r="D48" s="401"/>
      <c r="E48" s="146" t="s">
        <v>1402</v>
      </c>
      <c r="F48" s="146" t="s">
        <v>284</v>
      </c>
    </row>
    <row r="49" spans="1:6">
      <c r="A49" s="397"/>
      <c r="B49" s="401"/>
      <c r="C49" s="401"/>
      <c r="D49" s="401"/>
      <c r="E49" s="146" t="s">
        <v>1476</v>
      </c>
      <c r="F49" s="146" t="s">
        <v>284</v>
      </c>
    </row>
    <row r="50" spans="1:6">
      <c r="A50" s="397"/>
      <c r="B50" s="401"/>
      <c r="C50" s="401"/>
      <c r="D50" s="401"/>
      <c r="E50" s="146" t="s">
        <v>1422</v>
      </c>
      <c r="F50" s="146" t="s">
        <v>1459</v>
      </c>
    </row>
    <row r="51" spans="1:6">
      <c r="A51" s="397"/>
      <c r="B51" s="401"/>
      <c r="C51" s="401"/>
      <c r="D51" s="402"/>
      <c r="E51" s="146" t="s">
        <v>1405</v>
      </c>
      <c r="F51" s="146" t="s">
        <v>284</v>
      </c>
    </row>
    <row r="52" spans="1:6">
      <c r="A52" s="397"/>
      <c r="B52" s="401"/>
      <c r="C52" s="401"/>
      <c r="D52" s="400" t="s">
        <v>1420</v>
      </c>
      <c r="E52" s="146" t="s">
        <v>1395</v>
      </c>
      <c r="F52" s="146" t="s">
        <v>284</v>
      </c>
    </row>
    <row r="53" spans="1:6">
      <c r="A53" s="397"/>
      <c r="B53" s="401"/>
      <c r="C53" s="401"/>
      <c r="D53" s="401"/>
      <c r="E53" s="146" t="s">
        <v>1396</v>
      </c>
      <c r="F53" s="146" t="s">
        <v>284</v>
      </c>
    </row>
    <row r="54" spans="1:6">
      <c r="A54" s="397"/>
      <c r="B54" s="401"/>
      <c r="C54" s="401"/>
      <c r="D54" s="401"/>
      <c r="E54" s="146" t="s">
        <v>1397</v>
      </c>
      <c r="F54" s="146" t="s">
        <v>284</v>
      </c>
    </row>
    <row r="55" spans="1:6">
      <c r="A55" s="397"/>
      <c r="B55" s="401"/>
      <c r="C55" s="401"/>
      <c r="D55" s="401"/>
      <c r="E55" s="146" t="s">
        <v>1398</v>
      </c>
      <c r="F55" s="146" t="s">
        <v>284</v>
      </c>
    </row>
    <row r="56" spans="1:6">
      <c r="A56" s="397"/>
      <c r="B56" s="401"/>
      <c r="C56" s="401"/>
      <c r="D56" s="402"/>
      <c r="E56" s="146" t="s">
        <v>1399</v>
      </c>
      <c r="F56" s="146" t="s">
        <v>284</v>
      </c>
    </row>
    <row r="57" spans="1:6">
      <c r="A57" s="397"/>
      <c r="B57" s="401"/>
      <c r="C57" s="401"/>
      <c r="D57" s="146" t="s">
        <v>1389</v>
      </c>
      <c r="E57" s="146" t="s">
        <v>284</v>
      </c>
      <c r="F57" s="146" t="s">
        <v>284</v>
      </c>
    </row>
    <row r="58" spans="1:6">
      <c r="A58" s="397"/>
      <c r="B58" s="401"/>
      <c r="C58" s="401"/>
      <c r="D58" s="146" t="s">
        <v>1390</v>
      </c>
      <c r="E58" s="146" t="s">
        <v>284</v>
      </c>
      <c r="F58" s="146" t="s">
        <v>284</v>
      </c>
    </row>
    <row r="59" spans="1:6">
      <c r="A59" s="397"/>
      <c r="B59" s="401"/>
      <c r="C59" s="401"/>
      <c r="D59" s="146" t="s">
        <v>1392</v>
      </c>
      <c r="E59" s="146" t="s">
        <v>284</v>
      </c>
      <c r="F59" s="146" t="s">
        <v>284</v>
      </c>
    </row>
    <row r="60" spans="1:6">
      <c r="A60" s="397"/>
      <c r="B60" s="401"/>
      <c r="C60" s="402"/>
      <c r="D60" s="146" t="s">
        <v>1391</v>
      </c>
      <c r="E60" s="146" t="s">
        <v>284</v>
      </c>
      <c r="F60" s="146" t="s">
        <v>284</v>
      </c>
    </row>
    <row r="61" spans="1:6">
      <c r="A61" s="397"/>
      <c r="B61" s="401"/>
      <c r="C61" s="400" t="s">
        <v>1423</v>
      </c>
      <c r="D61" s="146" t="s">
        <v>1464</v>
      </c>
      <c r="E61" s="146" t="s">
        <v>284</v>
      </c>
      <c r="F61" s="146" t="s">
        <v>1615</v>
      </c>
    </row>
    <row r="62" spans="1:6">
      <c r="A62" s="397"/>
      <c r="B62" s="401"/>
      <c r="C62" s="401"/>
      <c r="D62" s="146" t="s">
        <v>1410</v>
      </c>
      <c r="E62" s="146" t="s">
        <v>284</v>
      </c>
      <c r="F62" s="146" t="s">
        <v>1615</v>
      </c>
    </row>
    <row r="63" spans="1:6">
      <c r="A63" s="397"/>
      <c r="B63" s="401"/>
      <c r="C63" s="401"/>
      <c r="D63" s="146" t="s">
        <v>1408</v>
      </c>
      <c r="E63" s="146" t="s">
        <v>284</v>
      </c>
      <c r="F63" s="146" t="s">
        <v>1615</v>
      </c>
    </row>
    <row r="64" spans="1:6">
      <c r="A64" s="397"/>
      <c r="B64" s="401"/>
      <c r="C64" s="401"/>
      <c r="D64" s="146" t="s">
        <v>1406</v>
      </c>
      <c r="E64" s="146" t="s">
        <v>284</v>
      </c>
      <c r="F64" s="146" t="s">
        <v>1615</v>
      </c>
    </row>
    <row r="65" spans="1:6">
      <c r="A65" s="397"/>
      <c r="B65" s="401"/>
      <c r="C65" s="401"/>
      <c r="D65" s="146" t="s">
        <v>1411</v>
      </c>
      <c r="E65" s="146" t="s">
        <v>284</v>
      </c>
      <c r="F65" s="146" t="s">
        <v>1615</v>
      </c>
    </row>
    <row r="66" spans="1:6">
      <c r="A66" s="397"/>
      <c r="B66" s="401"/>
      <c r="C66" s="401"/>
      <c r="D66" s="146" t="s">
        <v>1413</v>
      </c>
      <c r="E66" s="146" t="s">
        <v>284</v>
      </c>
      <c r="F66" s="146" t="s">
        <v>1615</v>
      </c>
    </row>
    <row r="67" spans="1:6">
      <c r="A67" s="397"/>
      <c r="B67" s="401"/>
      <c r="C67" s="401"/>
      <c r="D67" s="146" t="s">
        <v>1412</v>
      </c>
      <c r="E67" s="146" t="s">
        <v>284</v>
      </c>
      <c r="F67" s="146" t="s">
        <v>1615</v>
      </c>
    </row>
    <row r="68" spans="1:6">
      <c r="A68" s="397"/>
      <c r="B68" s="401"/>
      <c r="C68" s="401"/>
      <c r="D68" s="400" t="s">
        <v>1424</v>
      </c>
      <c r="E68" s="146" t="s">
        <v>1417</v>
      </c>
      <c r="F68" s="146" t="s">
        <v>284</v>
      </c>
    </row>
    <row r="69" spans="1:6">
      <c r="A69" s="397"/>
      <c r="B69" s="401"/>
      <c r="C69" s="401"/>
      <c r="D69" s="401"/>
      <c r="E69" s="146" t="s">
        <v>1418</v>
      </c>
      <c r="F69" s="146" t="s">
        <v>284</v>
      </c>
    </row>
    <row r="70" spans="1:6">
      <c r="A70" s="397"/>
      <c r="B70" s="401"/>
      <c r="C70" s="401"/>
      <c r="D70" s="401"/>
      <c r="E70" s="146" t="s">
        <v>1476</v>
      </c>
      <c r="F70" s="146" t="s">
        <v>284</v>
      </c>
    </row>
    <row r="71" spans="1:6">
      <c r="A71" s="397"/>
      <c r="B71" s="401"/>
      <c r="C71" s="401"/>
      <c r="D71" s="401"/>
      <c r="E71" s="146" t="s">
        <v>1416</v>
      </c>
      <c r="F71" s="146" t="s">
        <v>284</v>
      </c>
    </row>
    <row r="72" spans="1:6">
      <c r="A72" s="397"/>
      <c r="B72" s="401"/>
      <c r="C72" s="401"/>
      <c r="D72" s="401"/>
      <c r="E72" s="146" t="s">
        <v>1414</v>
      </c>
      <c r="F72" s="146" t="s">
        <v>284</v>
      </c>
    </row>
    <row r="73" spans="1:6">
      <c r="A73" s="397"/>
      <c r="B73" s="401"/>
      <c r="C73" s="401"/>
      <c r="D73" s="402"/>
      <c r="E73" s="146" t="s">
        <v>1415</v>
      </c>
      <c r="F73" s="146" t="s">
        <v>284</v>
      </c>
    </row>
    <row r="74" spans="1:6">
      <c r="A74" s="397"/>
      <c r="B74" s="401"/>
      <c r="C74" s="401"/>
      <c r="D74" s="146" t="s">
        <v>1476</v>
      </c>
      <c r="E74" s="146" t="s">
        <v>284</v>
      </c>
      <c r="F74" s="146" t="s">
        <v>1615</v>
      </c>
    </row>
    <row r="75" spans="1:6">
      <c r="A75" s="397"/>
      <c r="B75" s="401"/>
      <c r="C75" s="402"/>
      <c r="D75" s="146" t="s">
        <v>1407</v>
      </c>
      <c r="E75" s="146" t="s">
        <v>284</v>
      </c>
      <c r="F75" s="146" t="s">
        <v>1615</v>
      </c>
    </row>
    <row r="76" spans="1:6">
      <c r="A76" s="397"/>
      <c r="B76" s="401"/>
      <c r="C76" s="400" t="s">
        <v>1445</v>
      </c>
      <c r="D76" s="146" t="s">
        <v>1475</v>
      </c>
      <c r="E76" s="146" t="s">
        <v>284</v>
      </c>
      <c r="F76" s="146" t="s">
        <v>1615</v>
      </c>
    </row>
    <row r="77" spans="1:6">
      <c r="A77" s="397"/>
      <c r="B77" s="401"/>
      <c r="C77" s="401"/>
      <c r="D77" s="147" t="s">
        <v>1443</v>
      </c>
      <c r="E77" s="146"/>
      <c r="F77" s="146"/>
    </row>
    <row r="78" spans="1:6">
      <c r="A78" s="397"/>
      <c r="B78" s="401"/>
      <c r="C78" s="402"/>
      <c r="D78" s="146" t="s">
        <v>1444</v>
      </c>
      <c r="E78" s="146" t="s">
        <v>284</v>
      </c>
      <c r="F78" s="146" t="s">
        <v>1615</v>
      </c>
    </row>
    <row r="79" spans="1:6">
      <c r="A79" s="397"/>
      <c r="B79" s="401"/>
      <c r="C79" s="148" t="s">
        <v>1385</v>
      </c>
      <c r="D79" s="146" t="s">
        <v>284</v>
      </c>
      <c r="E79" s="146" t="s">
        <v>284</v>
      </c>
      <c r="F79" s="146" t="s">
        <v>284</v>
      </c>
    </row>
    <row r="80" spans="1:6">
      <c r="A80" s="397"/>
      <c r="B80" s="401"/>
      <c r="C80" s="149" t="s">
        <v>1477</v>
      </c>
      <c r="D80" s="146" t="s">
        <v>284</v>
      </c>
      <c r="E80" s="146" t="s">
        <v>284</v>
      </c>
      <c r="F80" s="146" t="s">
        <v>284</v>
      </c>
    </row>
    <row r="81" spans="1:6">
      <c r="A81" s="397"/>
      <c r="B81" s="401"/>
      <c r="C81" s="149" t="s">
        <v>1383</v>
      </c>
      <c r="D81" s="146" t="s">
        <v>284</v>
      </c>
      <c r="E81" s="146" t="s">
        <v>284</v>
      </c>
      <c r="F81" s="146" t="s">
        <v>284</v>
      </c>
    </row>
    <row r="82" spans="1:6">
      <c r="A82" s="397"/>
      <c r="B82" s="401"/>
      <c r="C82" s="146" t="s">
        <v>1475</v>
      </c>
      <c r="D82" s="146" t="s">
        <v>284</v>
      </c>
      <c r="E82" s="146" t="s">
        <v>284</v>
      </c>
      <c r="F82" s="146" t="s">
        <v>284</v>
      </c>
    </row>
    <row r="83" spans="1:6">
      <c r="A83" s="397"/>
      <c r="B83" s="401"/>
      <c r="C83" s="146" t="s">
        <v>1470</v>
      </c>
      <c r="D83" s="146" t="s">
        <v>1469</v>
      </c>
      <c r="E83" s="146" t="s">
        <v>284</v>
      </c>
      <c r="F83" s="146" t="s">
        <v>284</v>
      </c>
    </row>
    <row r="84" spans="1:6">
      <c r="A84" s="397"/>
      <c r="B84" s="401"/>
      <c r="C84" s="146" t="s">
        <v>1387</v>
      </c>
      <c r="D84" s="146" t="s">
        <v>284</v>
      </c>
      <c r="E84" s="146" t="s">
        <v>284</v>
      </c>
      <c r="F84" s="146" t="s">
        <v>284</v>
      </c>
    </row>
    <row r="85" spans="1:6">
      <c r="A85" s="397"/>
      <c r="B85" s="401"/>
      <c r="C85" s="149" t="s">
        <v>1441</v>
      </c>
      <c r="D85" s="146" t="s">
        <v>284</v>
      </c>
      <c r="E85" s="146" t="s">
        <v>284</v>
      </c>
      <c r="F85" s="146" t="s">
        <v>284</v>
      </c>
    </row>
    <row r="86" spans="1:6">
      <c r="A86" s="397"/>
      <c r="B86" s="401"/>
      <c r="C86" s="149" t="s">
        <v>1442</v>
      </c>
      <c r="D86" s="146" t="s">
        <v>284</v>
      </c>
      <c r="E86" s="146" t="s">
        <v>284</v>
      </c>
      <c r="F86" s="146" t="s">
        <v>284</v>
      </c>
    </row>
    <row r="87" spans="1:6">
      <c r="A87" s="397"/>
      <c r="B87" s="401"/>
      <c r="C87" s="149" t="s">
        <v>1440</v>
      </c>
      <c r="D87" s="146" t="s">
        <v>284</v>
      </c>
      <c r="E87" s="146" t="s">
        <v>284</v>
      </c>
      <c r="F87" s="146" t="s">
        <v>284</v>
      </c>
    </row>
    <row r="88" spans="1:6">
      <c r="A88" s="397"/>
      <c r="B88" s="401"/>
      <c r="C88" s="149" t="s">
        <v>1474</v>
      </c>
      <c r="D88" s="146" t="s">
        <v>284</v>
      </c>
      <c r="E88" s="146" t="s">
        <v>284</v>
      </c>
      <c r="F88" s="146" t="s">
        <v>284</v>
      </c>
    </row>
    <row r="89" spans="1:6">
      <c r="A89" s="397"/>
      <c r="B89" s="402"/>
      <c r="C89" s="149" t="s">
        <v>1388</v>
      </c>
      <c r="D89" s="146" t="s">
        <v>284</v>
      </c>
      <c r="E89" s="146" t="s">
        <v>284</v>
      </c>
      <c r="F89" s="146" t="s">
        <v>284</v>
      </c>
    </row>
    <row r="90" spans="1:6">
      <c r="A90" s="397"/>
      <c r="B90" s="398" t="s">
        <v>1210</v>
      </c>
      <c r="C90" s="149" t="s">
        <v>1471</v>
      </c>
      <c r="D90" s="146" t="s">
        <v>284</v>
      </c>
      <c r="E90" s="146" t="s">
        <v>284</v>
      </c>
      <c r="F90" s="146" t="s">
        <v>284</v>
      </c>
    </row>
    <row r="91" spans="1:6">
      <c r="A91" s="397"/>
      <c r="B91" s="396"/>
      <c r="C91" s="149" t="s">
        <v>1425</v>
      </c>
      <c r="D91" s="146" t="s">
        <v>284</v>
      </c>
      <c r="E91" s="146" t="s">
        <v>284</v>
      </c>
      <c r="F91" s="146" t="s">
        <v>284</v>
      </c>
    </row>
    <row r="92" spans="1:6">
      <c r="A92" s="397"/>
      <c r="B92" s="396"/>
      <c r="C92" s="149" t="s">
        <v>1387</v>
      </c>
      <c r="D92" s="146" t="s">
        <v>284</v>
      </c>
      <c r="E92" s="146" t="s">
        <v>284</v>
      </c>
      <c r="F92" s="146" t="s">
        <v>284</v>
      </c>
    </row>
    <row r="93" spans="1:6">
      <c r="A93" s="397"/>
      <c r="B93" s="396"/>
      <c r="C93" s="149" t="s">
        <v>1477</v>
      </c>
      <c r="D93" s="146" t="s">
        <v>284</v>
      </c>
      <c r="E93" s="146" t="s">
        <v>284</v>
      </c>
      <c r="F93" s="146" t="s">
        <v>284</v>
      </c>
    </row>
    <row r="94" spans="1:6">
      <c r="A94" s="397"/>
      <c r="B94" s="396"/>
      <c r="C94" s="149" t="s">
        <v>1475</v>
      </c>
      <c r="D94" s="146" t="s">
        <v>284</v>
      </c>
      <c r="E94" s="146" t="s">
        <v>284</v>
      </c>
      <c r="F94" s="146" t="s">
        <v>284</v>
      </c>
    </row>
    <row r="95" spans="1:6">
      <c r="A95" s="397"/>
      <c r="B95" s="396" t="s">
        <v>1226</v>
      </c>
      <c r="C95" s="149" t="s">
        <v>1383</v>
      </c>
      <c r="D95" s="146" t="s">
        <v>284</v>
      </c>
      <c r="E95" s="146" t="s">
        <v>284</v>
      </c>
      <c r="F95" s="146" t="s">
        <v>284</v>
      </c>
    </row>
    <row r="96" spans="1:6">
      <c r="A96" s="397"/>
      <c r="B96" s="396"/>
      <c r="C96" s="149" t="s">
        <v>1477</v>
      </c>
      <c r="D96" s="146" t="s">
        <v>284</v>
      </c>
      <c r="E96" s="146" t="s">
        <v>284</v>
      </c>
      <c r="F96" s="146" t="s">
        <v>284</v>
      </c>
    </row>
    <row r="97" spans="1:6">
      <c r="A97" s="397"/>
      <c r="B97" s="404" t="s">
        <v>1216</v>
      </c>
      <c r="C97" s="149" t="s">
        <v>1471</v>
      </c>
      <c r="D97" s="146" t="s">
        <v>284</v>
      </c>
      <c r="E97" s="146" t="s">
        <v>284</v>
      </c>
      <c r="F97" s="146" t="s">
        <v>284</v>
      </c>
    </row>
    <row r="98" spans="1:6">
      <c r="A98" s="397"/>
      <c r="B98" s="404"/>
      <c r="C98" s="149" t="s">
        <v>1425</v>
      </c>
      <c r="D98" s="146" t="s">
        <v>284</v>
      </c>
      <c r="E98" s="146" t="s">
        <v>284</v>
      </c>
      <c r="F98" s="146" t="s">
        <v>284</v>
      </c>
    </row>
    <row r="99" spans="1:6">
      <c r="A99" s="397"/>
      <c r="B99" s="404"/>
      <c r="C99" s="149" t="s">
        <v>1387</v>
      </c>
      <c r="D99" s="146" t="s">
        <v>284</v>
      </c>
      <c r="E99" s="146" t="s">
        <v>284</v>
      </c>
      <c r="F99" s="146" t="s">
        <v>284</v>
      </c>
    </row>
    <row r="100" spans="1:6">
      <c r="A100" s="397"/>
      <c r="B100" s="404"/>
      <c r="C100" s="149" t="s">
        <v>1477</v>
      </c>
      <c r="D100" s="146" t="s">
        <v>284</v>
      </c>
      <c r="E100" s="146" t="s">
        <v>284</v>
      </c>
      <c r="F100" s="146" t="s">
        <v>284</v>
      </c>
    </row>
    <row r="101" spans="1:6">
      <c r="A101" s="397" t="s">
        <v>1616</v>
      </c>
      <c r="B101" s="403" t="s">
        <v>1218</v>
      </c>
      <c r="C101" s="149" t="s">
        <v>1471</v>
      </c>
      <c r="D101" s="146" t="s">
        <v>284</v>
      </c>
      <c r="E101" s="146" t="s">
        <v>284</v>
      </c>
      <c r="F101" s="146" t="s">
        <v>284</v>
      </c>
    </row>
    <row r="102" spans="1:6">
      <c r="A102" s="397"/>
      <c r="B102" s="403"/>
      <c r="C102" s="149" t="s">
        <v>1433</v>
      </c>
      <c r="D102" s="146" t="s">
        <v>284</v>
      </c>
      <c r="E102" s="146" t="s">
        <v>284</v>
      </c>
      <c r="F102" s="146" t="s">
        <v>284</v>
      </c>
    </row>
    <row r="103" spans="1:6">
      <c r="A103" s="397"/>
      <c r="B103" s="403"/>
      <c r="C103" s="149" t="s">
        <v>1434</v>
      </c>
      <c r="D103" s="146" t="s">
        <v>284</v>
      </c>
      <c r="E103" s="146" t="s">
        <v>284</v>
      </c>
      <c r="F103" s="146" t="s">
        <v>284</v>
      </c>
    </row>
    <row r="104" spans="1:6">
      <c r="A104" s="397"/>
      <c r="B104" s="403"/>
      <c r="C104" s="149" t="s">
        <v>1387</v>
      </c>
      <c r="D104" s="146" t="s">
        <v>284</v>
      </c>
      <c r="E104" s="146" t="s">
        <v>284</v>
      </c>
      <c r="F104" s="146" t="s">
        <v>284</v>
      </c>
    </row>
    <row r="105" spans="1:6">
      <c r="A105" s="397"/>
      <c r="B105" s="403"/>
      <c r="C105" s="149" t="s">
        <v>1477</v>
      </c>
      <c r="D105" s="146" t="s">
        <v>284</v>
      </c>
      <c r="E105" s="146" t="s">
        <v>284</v>
      </c>
      <c r="F105" s="146" t="s">
        <v>284</v>
      </c>
    </row>
    <row r="106" spans="1:6">
      <c r="A106" s="397"/>
      <c r="B106" s="403"/>
      <c r="C106" s="149" t="s">
        <v>1470</v>
      </c>
      <c r="D106" s="146" t="s">
        <v>1469</v>
      </c>
      <c r="E106" s="146" t="s">
        <v>284</v>
      </c>
      <c r="F106" s="146" t="s">
        <v>284</v>
      </c>
    </row>
    <row r="107" spans="1:6">
      <c r="A107" s="405" t="s">
        <v>983</v>
      </c>
      <c r="B107" s="403" t="s">
        <v>1225</v>
      </c>
      <c r="C107" s="149" t="s">
        <v>1477</v>
      </c>
      <c r="D107" s="146" t="s">
        <v>284</v>
      </c>
      <c r="E107" s="146" t="s">
        <v>284</v>
      </c>
      <c r="F107" s="146" t="s">
        <v>284</v>
      </c>
    </row>
    <row r="108" spans="1:6">
      <c r="A108" s="405"/>
      <c r="B108" s="403"/>
      <c r="C108" s="149" t="s">
        <v>1475</v>
      </c>
      <c r="D108" s="146" t="s">
        <v>284</v>
      </c>
      <c r="E108" s="146" t="s">
        <v>284</v>
      </c>
      <c r="F108" s="146" t="s">
        <v>284</v>
      </c>
    </row>
    <row r="109" spans="1:6">
      <c r="A109" s="405"/>
      <c r="B109" s="403"/>
      <c r="C109" s="149" t="s">
        <v>1471</v>
      </c>
      <c r="D109" s="146" t="s">
        <v>284</v>
      </c>
      <c r="E109" s="146" t="s">
        <v>284</v>
      </c>
      <c r="F109" s="146" t="s">
        <v>284</v>
      </c>
    </row>
    <row r="110" spans="1:6">
      <c r="A110" s="405"/>
      <c r="B110" s="403"/>
      <c r="C110" s="149" t="s">
        <v>1453</v>
      </c>
      <c r="D110" s="146" t="s">
        <v>284</v>
      </c>
      <c r="E110" s="146" t="s">
        <v>284</v>
      </c>
      <c r="F110" s="146" t="s">
        <v>284</v>
      </c>
    </row>
    <row r="111" spans="1:6">
      <c r="A111" s="406" t="s">
        <v>1617</v>
      </c>
      <c r="B111" s="403" t="s">
        <v>1224</v>
      </c>
      <c r="C111" s="149" t="s">
        <v>1477</v>
      </c>
      <c r="D111" s="146" t="s">
        <v>284</v>
      </c>
      <c r="E111" s="146" t="s">
        <v>284</v>
      </c>
      <c r="F111" s="146" t="s">
        <v>284</v>
      </c>
    </row>
    <row r="112" spans="1:6">
      <c r="A112" s="406"/>
      <c r="B112" s="403"/>
      <c r="C112" s="149" t="s">
        <v>1475</v>
      </c>
      <c r="D112" s="146" t="s">
        <v>284</v>
      </c>
      <c r="E112" s="146" t="s">
        <v>284</v>
      </c>
      <c r="F112" s="146" t="s">
        <v>284</v>
      </c>
    </row>
    <row r="113" spans="1:6">
      <c r="A113" s="406"/>
      <c r="B113" s="403"/>
      <c r="C113" s="149" t="s">
        <v>1471</v>
      </c>
      <c r="D113" s="146" t="s">
        <v>284</v>
      </c>
      <c r="E113" s="146" t="s">
        <v>284</v>
      </c>
      <c r="F113" s="146" t="s">
        <v>284</v>
      </c>
    </row>
    <row r="114" spans="1:6">
      <c r="A114" s="406"/>
      <c r="B114" s="403"/>
      <c r="C114" s="149" t="s">
        <v>1449</v>
      </c>
      <c r="D114" s="146" t="s">
        <v>284</v>
      </c>
      <c r="E114" s="146" t="s">
        <v>284</v>
      </c>
      <c r="F114" s="146" t="s">
        <v>284</v>
      </c>
    </row>
    <row r="115" spans="1:6">
      <c r="A115" s="406"/>
      <c r="B115" s="403"/>
      <c r="C115" s="149" t="s">
        <v>1450</v>
      </c>
      <c r="D115" s="146" t="s">
        <v>284</v>
      </c>
      <c r="E115" s="146" t="s">
        <v>284</v>
      </c>
      <c r="F115" s="146" t="s">
        <v>284</v>
      </c>
    </row>
    <row r="116" spans="1:6">
      <c r="A116" s="406"/>
      <c r="B116" s="403"/>
      <c r="C116" s="149" t="s">
        <v>1452</v>
      </c>
      <c r="D116" s="146" t="s">
        <v>284</v>
      </c>
      <c r="E116" s="146" t="s">
        <v>284</v>
      </c>
      <c r="F116" s="146" t="s">
        <v>284</v>
      </c>
    </row>
    <row r="117" spans="1:6">
      <c r="A117" s="406"/>
      <c r="B117" s="403"/>
      <c r="C117" s="149" t="s">
        <v>1411</v>
      </c>
      <c r="D117" s="146" t="s">
        <v>284</v>
      </c>
      <c r="E117" s="146" t="s">
        <v>284</v>
      </c>
      <c r="F117" s="146" t="s">
        <v>284</v>
      </c>
    </row>
    <row r="118" spans="1:6">
      <c r="A118" s="406"/>
      <c r="B118" s="403"/>
      <c r="C118" s="149" t="s">
        <v>1448</v>
      </c>
      <c r="D118" s="146" t="s">
        <v>284</v>
      </c>
      <c r="E118" s="146" t="s">
        <v>284</v>
      </c>
      <c r="F118" s="146" t="s">
        <v>284</v>
      </c>
    </row>
    <row r="119" spans="1:6">
      <c r="A119" s="406"/>
      <c r="B119" s="403"/>
      <c r="C119" s="149" t="s">
        <v>1451</v>
      </c>
      <c r="D119" s="146" t="s">
        <v>284</v>
      </c>
      <c r="E119" s="146" t="s">
        <v>284</v>
      </c>
      <c r="F119" s="146" t="s">
        <v>284</v>
      </c>
    </row>
    <row r="120" spans="1:6">
      <c r="A120" s="406"/>
      <c r="B120" s="403"/>
      <c r="C120" s="149" t="s">
        <v>1464</v>
      </c>
      <c r="D120" s="146" t="s">
        <v>284</v>
      </c>
      <c r="E120" s="146" t="s">
        <v>284</v>
      </c>
      <c r="F120" s="146" t="s">
        <v>284</v>
      </c>
    </row>
    <row r="121" spans="1:6">
      <c r="A121" s="397" t="s">
        <v>1013</v>
      </c>
      <c r="B121" s="403" t="s">
        <v>1211</v>
      </c>
      <c r="C121" s="149" t="s">
        <v>1477</v>
      </c>
      <c r="D121" s="146" t="s">
        <v>284</v>
      </c>
      <c r="E121" s="146" t="s">
        <v>284</v>
      </c>
      <c r="F121" s="146" t="s">
        <v>284</v>
      </c>
    </row>
    <row r="122" spans="1:6">
      <c r="A122" s="397"/>
      <c r="B122" s="403"/>
      <c r="C122" s="149" t="s">
        <v>1470</v>
      </c>
      <c r="D122" s="146" t="s">
        <v>1469</v>
      </c>
      <c r="E122" s="146" t="s">
        <v>284</v>
      </c>
      <c r="F122" s="146" t="s">
        <v>284</v>
      </c>
    </row>
    <row r="123" spans="1:6">
      <c r="A123" s="397"/>
      <c r="B123" s="403"/>
      <c r="C123" s="149" t="s">
        <v>1471</v>
      </c>
      <c r="D123" s="146" t="s">
        <v>284</v>
      </c>
      <c r="E123" s="146" t="s">
        <v>284</v>
      </c>
      <c r="F123" s="146" t="s">
        <v>284</v>
      </c>
    </row>
    <row r="124" spans="1:6">
      <c r="A124" s="397"/>
      <c r="B124" s="403"/>
      <c r="C124" s="149" t="s">
        <v>1389</v>
      </c>
      <c r="D124" s="146" t="s">
        <v>284</v>
      </c>
      <c r="E124" s="146" t="s">
        <v>284</v>
      </c>
      <c r="F124" s="146" t="s">
        <v>284</v>
      </c>
    </row>
    <row r="125" spans="1:6">
      <c r="A125" s="397"/>
      <c r="B125" s="403"/>
      <c r="C125" s="149" t="s">
        <v>1422</v>
      </c>
      <c r="D125" s="146" t="s">
        <v>1459</v>
      </c>
      <c r="E125" s="146" t="s">
        <v>284</v>
      </c>
      <c r="F125" s="146" t="s">
        <v>284</v>
      </c>
    </row>
    <row r="126" spans="1:6">
      <c r="A126" s="397"/>
      <c r="B126" s="403"/>
      <c r="C126" s="149" t="s">
        <v>1426</v>
      </c>
      <c r="D126" s="146" t="s">
        <v>284</v>
      </c>
      <c r="E126" s="146" t="s">
        <v>284</v>
      </c>
      <c r="F126" s="146" t="s">
        <v>284</v>
      </c>
    </row>
    <row r="127" spans="1:6">
      <c r="A127" s="397"/>
      <c r="B127" s="403"/>
      <c r="C127" s="149" t="s">
        <v>1390</v>
      </c>
      <c r="D127" s="146" t="s">
        <v>284</v>
      </c>
      <c r="E127" s="146" t="s">
        <v>284</v>
      </c>
      <c r="F127" s="146" t="s">
        <v>284</v>
      </c>
    </row>
    <row r="128" spans="1:6">
      <c r="A128" s="397"/>
      <c r="B128" s="403"/>
      <c r="C128" s="149" t="s">
        <v>1427</v>
      </c>
      <c r="D128" s="146" t="s">
        <v>284</v>
      </c>
      <c r="E128" s="146" t="s">
        <v>284</v>
      </c>
      <c r="F128" s="146" t="s">
        <v>284</v>
      </c>
    </row>
    <row r="129" spans="1:6">
      <c r="A129" s="397"/>
      <c r="B129" s="403"/>
      <c r="C129" s="149" t="s">
        <v>1428</v>
      </c>
      <c r="D129" s="146" t="s">
        <v>284</v>
      </c>
      <c r="E129" s="146" t="s">
        <v>284</v>
      </c>
      <c r="F129" s="146" t="s">
        <v>284</v>
      </c>
    </row>
    <row r="130" spans="1:6">
      <c r="A130" s="397"/>
      <c r="B130" s="403"/>
      <c r="C130" s="149" t="s">
        <v>1429</v>
      </c>
      <c r="D130" s="146" t="s">
        <v>284</v>
      </c>
      <c r="E130" s="146" t="s">
        <v>284</v>
      </c>
      <c r="F130" s="146" t="s">
        <v>284</v>
      </c>
    </row>
    <row r="131" spans="1:6">
      <c r="A131" s="397"/>
      <c r="B131" s="403"/>
      <c r="C131" s="149" t="s">
        <v>1430</v>
      </c>
      <c r="D131" s="146" t="s">
        <v>284</v>
      </c>
      <c r="E131" s="146" t="s">
        <v>284</v>
      </c>
      <c r="F131" s="146" t="s">
        <v>284</v>
      </c>
    </row>
    <row r="132" spans="1:6">
      <c r="A132" s="397"/>
      <c r="B132" s="403"/>
      <c r="C132" s="149" t="s">
        <v>1431</v>
      </c>
      <c r="D132" s="146" t="s">
        <v>284</v>
      </c>
      <c r="E132" s="146" t="s">
        <v>284</v>
      </c>
      <c r="F132" s="146" t="s">
        <v>284</v>
      </c>
    </row>
    <row r="133" spans="1:6">
      <c r="A133" s="397"/>
      <c r="B133" s="403"/>
      <c r="C133" s="149" t="s">
        <v>1400</v>
      </c>
      <c r="D133" s="146" t="s">
        <v>284</v>
      </c>
      <c r="E133" s="146" t="s">
        <v>284</v>
      </c>
      <c r="F133" s="146" t="s">
        <v>284</v>
      </c>
    </row>
    <row r="134" spans="1:6">
      <c r="A134" s="397"/>
      <c r="B134" s="403"/>
      <c r="C134" s="149" t="s">
        <v>1414</v>
      </c>
      <c r="D134" s="146" t="s">
        <v>284</v>
      </c>
      <c r="E134" s="146" t="s">
        <v>284</v>
      </c>
      <c r="F134" s="146" t="s">
        <v>284</v>
      </c>
    </row>
    <row r="135" spans="1:6">
      <c r="A135" s="397"/>
      <c r="B135" s="403"/>
      <c r="C135" s="149" t="s">
        <v>1418</v>
      </c>
      <c r="D135" s="146" t="s">
        <v>284</v>
      </c>
      <c r="E135" s="146" t="s">
        <v>284</v>
      </c>
      <c r="F135" s="146" t="s">
        <v>284</v>
      </c>
    </row>
    <row r="136" spans="1:6">
      <c r="A136" s="397"/>
      <c r="B136" t="s">
        <v>1228</v>
      </c>
      <c r="C136" s="149" t="s">
        <v>1477</v>
      </c>
      <c r="D136" s="149" t="s">
        <v>284</v>
      </c>
      <c r="E136" s="149" t="s">
        <v>284</v>
      </c>
      <c r="F136" s="149" t="s">
        <v>284</v>
      </c>
    </row>
    <row r="137" spans="1:6">
      <c r="A137" s="397" t="s">
        <v>1006</v>
      </c>
      <c r="B137" s="403" t="s">
        <v>1223</v>
      </c>
      <c r="C137" s="149" t="s">
        <v>1477</v>
      </c>
      <c r="D137" s="146" t="s">
        <v>284</v>
      </c>
      <c r="E137" s="146" t="s">
        <v>284</v>
      </c>
      <c r="F137" s="146" t="s">
        <v>284</v>
      </c>
    </row>
    <row r="138" spans="1:6">
      <c r="A138" s="397"/>
      <c r="B138" s="403"/>
      <c r="C138" s="149" t="s">
        <v>1475</v>
      </c>
      <c r="D138" s="146" t="s">
        <v>284</v>
      </c>
      <c r="E138" s="146" t="s">
        <v>284</v>
      </c>
      <c r="F138" s="146" t="s">
        <v>284</v>
      </c>
    </row>
    <row r="139" spans="1:6">
      <c r="A139" s="397"/>
      <c r="B139" s="403"/>
      <c r="C139" s="149" t="s">
        <v>1471</v>
      </c>
      <c r="D139" s="146" t="s">
        <v>284</v>
      </c>
      <c r="E139" s="146" t="s">
        <v>284</v>
      </c>
      <c r="F139" s="146" t="s">
        <v>284</v>
      </c>
    </row>
    <row r="140" spans="1:6">
      <c r="A140" s="397"/>
      <c r="B140" s="403"/>
      <c r="C140" s="149" t="s">
        <v>1446</v>
      </c>
      <c r="D140" s="146" t="s">
        <v>284</v>
      </c>
      <c r="E140" s="146" t="s">
        <v>284</v>
      </c>
      <c r="F140" s="146" t="s">
        <v>284</v>
      </c>
    </row>
  </sheetData>
  <mergeCells count="27">
    <mergeCell ref="A121:A136"/>
    <mergeCell ref="B121:B135"/>
    <mergeCell ref="A137:A140"/>
    <mergeCell ref="B137:B140"/>
    <mergeCell ref="B97:B100"/>
    <mergeCell ref="A101:A106"/>
    <mergeCell ref="B101:B106"/>
    <mergeCell ref="A107:A110"/>
    <mergeCell ref="B107:B110"/>
    <mergeCell ref="A111:A120"/>
    <mergeCell ref="B111:B120"/>
    <mergeCell ref="B95:B96"/>
    <mergeCell ref="A2:A100"/>
    <mergeCell ref="B2:B42"/>
    <mergeCell ref="C2:C17"/>
    <mergeCell ref="D9:D14"/>
    <mergeCell ref="C18:C34"/>
    <mergeCell ref="D22:D26"/>
    <mergeCell ref="D27:D32"/>
    <mergeCell ref="B43:B89"/>
    <mergeCell ref="C44:C60"/>
    <mergeCell ref="D46:D51"/>
    <mergeCell ref="D52:D56"/>
    <mergeCell ref="C61:C75"/>
    <mergeCell ref="D68:D73"/>
    <mergeCell ref="C76:C78"/>
    <mergeCell ref="B90:B9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614E-48A7-46EE-AACD-6115BA974A89}">
  <dimension ref="A1:D80"/>
  <sheetViews>
    <sheetView workbookViewId="0"/>
  </sheetViews>
  <sheetFormatPr defaultRowHeight="15"/>
  <cols>
    <col min="1" max="1" width="55.5703125" customWidth="1"/>
    <col min="2" max="2" width="37.42578125" customWidth="1"/>
    <col min="3" max="3" width="26.5703125" customWidth="1"/>
    <col min="4" max="4" width="32.42578125" customWidth="1"/>
  </cols>
  <sheetData>
    <row r="1" spans="1:4">
      <c r="A1" s="240" t="s">
        <v>1042</v>
      </c>
      <c r="B1" s="241" t="s">
        <v>1609</v>
      </c>
      <c r="C1" s="241" t="s">
        <v>1618</v>
      </c>
      <c r="D1" s="241" t="s">
        <v>1619</v>
      </c>
    </row>
    <row r="2" spans="1:4">
      <c r="A2" s="150" t="s">
        <v>1620</v>
      </c>
      <c r="B2" s="150" t="s">
        <v>1232</v>
      </c>
      <c r="C2" s="100" t="s">
        <v>1468</v>
      </c>
      <c r="D2" t="s">
        <v>1464</v>
      </c>
    </row>
    <row r="3" spans="1:4" ht="30">
      <c r="A3" s="150" t="s">
        <v>1620</v>
      </c>
      <c r="B3" s="150" t="s">
        <v>1234</v>
      </c>
      <c r="C3" s="151" t="s">
        <v>1621</v>
      </c>
      <c r="D3" s="100" t="s">
        <v>284</v>
      </c>
    </row>
    <row r="4" spans="1:4">
      <c r="A4" s="150" t="s">
        <v>1622</v>
      </c>
      <c r="B4" s="150" t="s">
        <v>1236</v>
      </c>
      <c r="C4" s="100" t="s">
        <v>1464</v>
      </c>
      <c r="D4" s="100" t="s">
        <v>284</v>
      </c>
    </row>
    <row r="5" spans="1:4">
      <c r="A5" s="150" t="s">
        <v>1620</v>
      </c>
      <c r="B5" s="150" t="s">
        <v>1238</v>
      </c>
      <c r="C5" s="100" t="s">
        <v>1464</v>
      </c>
      <c r="D5" s="100" t="s">
        <v>284</v>
      </c>
    </row>
    <row r="6" spans="1:4">
      <c r="A6" s="150" t="s">
        <v>1620</v>
      </c>
      <c r="B6" s="150" t="s">
        <v>1240</v>
      </c>
      <c r="C6" s="100" t="s">
        <v>284</v>
      </c>
      <c r="D6" s="100" t="s">
        <v>284</v>
      </c>
    </row>
    <row r="7" spans="1:4">
      <c r="A7" s="150" t="s">
        <v>973</v>
      </c>
      <c r="B7" s="150" t="s">
        <v>975</v>
      </c>
      <c r="C7" s="100" t="s">
        <v>284</v>
      </c>
      <c r="D7" s="100" t="s">
        <v>284</v>
      </c>
    </row>
    <row r="8" spans="1:4">
      <c r="A8" s="150" t="s">
        <v>944</v>
      </c>
      <c r="B8" s="150" t="s">
        <v>1243</v>
      </c>
      <c r="C8" s="100" t="s">
        <v>1464</v>
      </c>
      <c r="D8" s="100" t="s">
        <v>284</v>
      </c>
    </row>
    <row r="9" spans="1:4">
      <c r="A9" s="152" t="s">
        <v>938</v>
      </c>
      <c r="B9" s="150" t="s">
        <v>940</v>
      </c>
      <c r="C9" s="100" t="s">
        <v>284</v>
      </c>
      <c r="D9" s="100" t="s">
        <v>284</v>
      </c>
    </row>
    <row r="10" spans="1:4">
      <c r="A10" s="150" t="s">
        <v>1485</v>
      </c>
      <c r="B10" s="150" t="s">
        <v>1246</v>
      </c>
      <c r="C10" s="100" t="s">
        <v>284</v>
      </c>
      <c r="D10" s="100" t="s">
        <v>284</v>
      </c>
    </row>
    <row r="11" spans="1:4" ht="30">
      <c r="A11" s="150" t="s">
        <v>1620</v>
      </c>
      <c r="B11" s="150" t="s">
        <v>1250</v>
      </c>
      <c r="C11" s="151" t="s">
        <v>1621</v>
      </c>
      <c r="D11" s="100" t="s">
        <v>284</v>
      </c>
    </row>
    <row r="12" spans="1:4">
      <c r="A12" s="150" t="s">
        <v>1622</v>
      </c>
      <c r="B12" s="150" t="s">
        <v>1252</v>
      </c>
      <c r="C12" s="100" t="s">
        <v>1464</v>
      </c>
      <c r="D12" s="100" t="s">
        <v>284</v>
      </c>
    </row>
    <row r="13" spans="1:4">
      <c r="A13" s="150" t="s">
        <v>1623</v>
      </c>
      <c r="B13" s="150" t="s">
        <v>1254</v>
      </c>
      <c r="C13" s="100" t="s">
        <v>1464</v>
      </c>
      <c r="D13" s="100" t="s">
        <v>284</v>
      </c>
    </row>
    <row r="14" spans="1:4">
      <c r="A14" s="150" t="s">
        <v>1624</v>
      </c>
      <c r="B14" s="150" t="s">
        <v>1257</v>
      </c>
      <c r="C14" s="100" t="s">
        <v>284</v>
      </c>
      <c r="D14" s="100" t="s">
        <v>284</v>
      </c>
    </row>
    <row r="15" spans="1:4">
      <c r="A15" s="150" t="s">
        <v>1625</v>
      </c>
      <c r="B15" s="150" t="s">
        <v>1259</v>
      </c>
      <c r="C15" s="100" t="s">
        <v>284</v>
      </c>
      <c r="D15" s="100" t="s">
        <v>284</v>
      </c>
    </row>
    <row r="16" spans="1:4">
      <c r="A16" s="150" t="s">
        <v>1626</v>
      </c>
      <c r="B16" s="150" t="s">
        <v>1261</v>
      </c>
      <c r="C16" s="100" t="s">
        <v>284</v>
      </c>
      <c r="D16" s="100" t="s">
        <v>284</v>
      </c>
    </row>
    <row r="17" spans="1:4" ht="30">
      <c r="A17" s="150" t="s">
        <v>1625</v>
      </c>
      <c r="B17" s="150" t="s">
        <v>1263</v>
      </c>
      <c r="C17" s="151" t="s">
        <v>1627</v>
      </c>
      <c r="D17" s="100" t="s">
        <v>284</v>
      </c>
    </row>
    <row r="18" spans="1:4">
      <c r="A18" s="150" t="s">
        <v>999</v>
      </c>
      <c r="B18" s="150" t="s">
        <v>1265</v>
      </c>
      <c r="C18" s="100" t="s">
        <v>284</v>
      </c>
      <c r="D18" s="100" t="s">
        <v>284</v>
      </c>
    </row>
    <row r="19" spans="1:4">
      <c r="A19" s="150" t="s">
        <v>965</v>
      </c>
      <c r="B19" s="150" t="s">
        <v>1267</v>
      </c>
      <c r="C19" s="100" t="s">
        <v>284</v>
      </c>
      <c r="D19" s="100" t="s">
        <v>284</v>
      </c>
    </row>
    <row r="20" spans="1:4">
      <c r="A20" s="150" t="s">
        <v>1009</v>
      </c>
      <c r="B20" s="150" t="s">
        <v>1011</v>
      </c>
      <c r="C20" s="100" t="s">
        <v>284</v>
      </c>
      <c r="D20" s="100" t="s">
        <v>284</v>
      </c>
    </row>
    <row r="21" spans="1:4">
      <c r="A21" s="150" t="s">
        <v>969</v>
      </c>
      <c r="B21" s="150" t="s">
        <v>1270</v>
      </c>
      <c r="C21" s="100" t="s">
        <v>1464</v>
      </c>
      <c r="D21" s="100" t="s">
        <v>284</v>
      </c>
    </row>
    <row r="22" spans="1:4">
      <c r="A22" s="150" t="s">
        <v>1024</v>
      </c>
      <c r="B22" s="150" t="s">
        <v>1272</v>
      </c>
      <c r="C22" s="100" t="s">
        <v>284</v>
      </c>
      <c r="D22" s="100" t="s">
        <v>284</v>
      </c>
    </row>
    <row r="23" spans="1:4">
      <c r="A23" s="150" t="s">
        <v>999</v>
      </c>
      <c r="B23" s="150" t="s">
        <v>1274</v>
      </c>
      <c r="C23" s="100" t="s">
        <v>284</v>
      </c>
      <c r="D23" s="100" t="s">
        <v>284</v>
      </c>
    </row>
    <row r="24" spans="1:4">
      <c r="A24" s="150" t="s">
        <v>1620</v>
      </c>
      <c r="B24" s="150" t="s">
        <v>1276</v>
      </c>
      <c r="C24" s="100" t="s">
        <v>284</v>
      </c>
      <c r="D24" s="100" t="s">
        <v>284</v>
      </c>
    </row>
    <row r="25" spans="1:4">
      <c r="A25" s="150" t="s">
        <v>1620</v>
      </c>
      <c r="B25" s="150" t="s">
        <v>1278</v>
      </c>
      <c r="C25" s="100" t="s">
        <v>284</v>
      </c>
      <c r="D25" s="100" t="s">
        <v>284</v>
      </c>
    </row>
    <row r="26" spans="1:4">
      <c r="A26" s="150" t="s">
        <v>1620</v>
      </c>
      <c r="B26" s="150" t="s">
        <v>1280</v>
      </c>
      <c r="C26" s="100" t="s">
        <v>284</v>
      </c>
      <c r="D26" s="100" t="s">
        <v>284</v>
      </c>
    </row>
    <row r="27" spans="1:4">
      <c r="A27" s="150" t="s">
        <v>976</v>
      </c>
      <c r="B27" s="150" t="s">
        <v>978</v>
      </c>
      <c r="C27" s="100" t="s">
        <v>284</v>
      </c>
      <c r="D27" s="100" t="s">
        <v>284</v>
      </c>
    </row>
    <row r="28" spans="1:4">
      <c r="A28" s="150" t="s">
        <v>986</v>
      </c>
      <c r="B28" s="150" t="s">
        <v>1283</v>
      </c>
      <c r="C28" s="100" t="s">
        <v>284</v>
      </c>
      <c r="D28" s="100" t="s">
        <v>284</v>
      </c>
    </row>
    <row r="29" spans="1:4">
      <c r="A29" s="150" t="s">
        <v>1626</v>
      </c>
      <c r="B29" s="150" t="s">
        <v>1285</v>
      </c>
      <c r="C29" s="100" t="s">
        <v>1464</v>
      </c>
      <c r="D29" s="100" t="s">
        <v>284</v>
      </c>
    </row>
    <row r="30" spans="1:4">
      <c r="A30" s="242" t="s">
        <v>1214</v>
      </c>
      <c r="B30" s="242" t="s">
        <v>1287</v>
      </c>
      <c r="C30" s="230" t="s">
        <v>284</v>
      </c>
      <c r="D30" s="100" t="s">
        <v>284</v>
      </c>
    </row>
    <row r="31" spans="1:4">
      <c r="A31" s="150" t="s">
        <v>1006</v>
      </c>
      <c r="B31" s="150" t="s">
        <v>1288</v>
      </c>
      <c r="C31" s="100" t="s">
        <v>284</v>
      </c>
      <c r="D31" s="100" t="s">
        <v>284</v>
      </c>
    </row>
    <row r="32" spans="1:4">
      <c r="A32" s="150" t="s">
        <v>1006</v>
      </c>
      <c r="B32" s="150" t="s">
        <v>1290</v>
      </c>
      <c r="C32" s="100" t="s">
        <v>284</v>
      </c>
      <c r="D32" s="100" t="s">
        <v>284</v>
      </c>
    </row>
    <row r="33" spans="1:4">
      <c r="A33" s="150" t="s">
        <v>1006</v>
      </c>
      <c r="B33" s="150" t="s">
        <v>1292</v>
      </c>
      <c r="C33" s="100" t="s">
        <v>284</v>
      </c>
      <c r="D33" s="100" t="s">
        <v>284</v>
      </c>
    </row>
    <row r="34" spans="1:4">
      <c r="A34" s="150" t="s">
        <v>1006</v>
      </c>
      <c r="B34" s="150" t="s">
        <v>1294</v>
      </c>
      <c r="C34" s="100" t="s">
        <v>284</v>
      </c>
      <c r="D34" s="100" t="s">
        <v>284</v>
      </c>
    </row>
    <row r="35" spans="1:4">
      <c r="A35" s="150" t="s">
        <v>1628</v>
      </c>
      <c r="B35" s="150" t="s">
        <v>1296</v>
      </c>
      <c r="C35" s="100" t="s">
        <v>1464</v>
      </c>
      <c r="D35" s="100" t="s">
        <v>284</v>
      </c>
    </row>
    <row r="36" spans="1:4">
      <c r="A36" s="150" t="s">
        <v>983</v>
      </c>
      <c r="B36" s="150" t="s">
        <v>1298</v>
      </c>
      <c r="C36" s="100" t="s">
        <v>284</v>
      </c>
      <c r="D36" s="100" t="s">
        <v>284</v>
      </c>
    </row>
    <row r="37" spans="1:4">
      <c r="A37" s="150" t="s">
        <v>980</v>
      </c>
      <c r="B37" s="150" t="s">
        <v>1302</v>
      </c>
      <c r="C37" s="100" t="s">
        <v>284</v>
      </c>
      <c r="D37" s="100" t="s">
        <v>284</v>
      </c>
    </row>
    <row r="38" spans="1:4">
      <c r="A38" s="150" t="s">
        <v>1485</v>
      </c>
      <c r="B38" s="150" t="s">
        <v>1304</v>
      </c>
      <c r="C38" s="100" t="s">
        <v>284</v>
      </c>
      <c r="D38" s="100" t="s">
        <v>284</v>
      </c>
    </row>
    <row r="39" spans="1:4">
      <c r="A39" s="150" t="s">
        <v>983</v>
      </c>
      <c r="B39" s="150" t="s">
        <v>1306</v>
      </c>
      <c r="C39" s="100" t="s">
        <v>284</v>
      </c>
      <c r="D39" s="100" t="s">
        <v>284</v>
      </c>
    </row>
    <row r="40" spans="1:4">
      <c r="A40" s="150" t="s">
        <v>996</v>
      </c>
      <c r="B40" s="150" t="s">
        <v>998</v>
      </c>
      <c r="C40" s="100" t="s">
        <v>284</v>
      </c>
      <c r="D40" s="100" t="s">
        <v>284</v>
      </c>
    </row>
    <row r="41" spans="1:4">
      <c r="A41" s="150" t="s">
        <v>980</v>
      </c>
      <c r="B41" s="150" t="s">
        <v>1309</v>
      </c>
      <c r="C41" s="100" t="s">
        <v>284</v>
      </c>
      <c r="D41" s="100" t="s">
        <v>284</v>
      </c>
    </row>
    <row r="42" spans="1:4">
      <c r="A42" s="150" t="s">
        <v>980</v>
      </c>
      <c r="B42" s="150" t="s">
        <v>1311</v>
      </c>
      <c r="C42" s="100" t="s">
        <v>284</v>
      </c>
      <c r="D42" s="100" t="s">
        <v>284</v>
      </c>
    </row>
    <row r="43" spans="1:4">
      <c r="A43" s="150" t="s">
        <v>980</v>
      </c>
      <c r="B43" s="150" t="s">
        <v>1313</v>
      </c>
      <c r="C43" s="100" t="s">
        <v>284</v>
      </c>
      <c r="D43" s="100" t="s">
        <v>284</v>
      </c>
    </row>
    <row r="44" spans="1:4">
      <c r="A44" s="150" t="s">
        <v>980</v>
      </c>
      <c r="B44" s="150" t="s">
        <v>1315</v>
      </c>
      <c r="C44" s="100" t="s">
        <v>284</v>
      </c>
      <c r="D44" s="100" t="s">
        <v>284</v>
      </c>
    </row>
    <row r="45" spans="1:4">
      <c r="A45" s="150" t="s">
        <v>980</v>
      </c>
      <c r="B45" s="150" t="s">
        <v>1317</v>
      </c>
      <c r="C45" s="100" t="s">
        <v>284</v>
      </c>
      <c r="D45" s="100" t="s">
        <v>284</v>
      </c>
    </row>
    <row r="46" spans="1:4">
      <c r="A46" s="150" t="s">
        <v>993</v>
      </c>
      <c r="B46" s="150" t="s">
        <v>1319</v>
      </c>
      <c r="C46" s="100" t="s">
        <v>284</v>
      </c>
      <c r="D46" s="100" t="s">
        <v>284</v>
      </c>
    </row>
    <row r="47" spans="1:4">
      <c r="A47" s="150" t="s">
        <v>993</v>
      </c>
      <c r="B47" s="150" t="s">
        <v>1321</v>
      </c>
      <c r="C47" s="100" t="s">
        <v>284</v>
      </c>
      <c r="D47" s="100" t="s">
        <v>284</v>
      </c>
    </row>
    <row r="48" spans="1:4">
      <c r="A48" s="150" t="s">
        <v>993</v>
      </c>
      <c r="B48" s="150" t="s">
        <v>1323</v>
      </c>
      <c r="C48" s="100" t="s">
        <v>284</v>
      </c>
      <c r="D48" s="100" t="s">
        <v>284</v>
      </c>
    </row>
    <row r="49" spans="1:4">
      <c r="A49" s="150" t="s">
        <v>999</v>
      </c>
      <c r="B49" s="150" t="s">
        <v>1327</v>
      </c>
      <c r="C49" s="100" t="s">
        <v>284</v>
      </c>
      <c r="D49" s="100" t="s">
        <v>284</v>
      </c>
    </row>
    <row r="50" spans="1:4">
      <c r="A50" s="150" t="s">
        <v>1629</v>
      </c>
      <c r="B50" s="150" t="s">
        <v>1329</v>
      </c>
      <c r="C50" s="100" t="s">
        <v>1459</v>
      </c>
      <c r="D50" s="100" t="s">
        <v>284</v>
      </c>
    </row>
    <row r="51" spans="1:4" ht="30">
      <c r="A51" s="150" t="s">
        <v>1630</v>
      </c>
      <c r="B51" s="150" t="s">
        <v>1331</v>
      </c>
      <c r="C51" s="151" t="s">
        <v>1631</v>
      </c>
      <c r="D51" s="100" t="s">
        <v>284</v>
      </c>
    </row>
    <row r="52" spans="1:4">
      <c r="A52" s="150" t="s">
        <v>1622</v>
      </c>
      <c r="B52" s="150" t="s">
        <v>1333</v>
      </c>
      <c r="C52" s="100" t="s">
        <v>1023</v>
      </c>
      <c r="D52" s="100" t="s">
        <v>284</v>
      </c>
    </row>
    <row r="53" spans="1:4">
      <c r="A53" s="407" t="s">
        <v>1622</v>
      </c>
      <c r="B53" s="407" t="s">
        <v>1335</v>
      </c>
      <c r="C53" s="100" t="s">
        <v>1632</v>
      </c>
      <c r="D53" s="100" t="s">
        <v>1463</v>
      </c>
    </row>
    <row r="54" spans="1:4">
      <c r="A54" s="408"/>
      <c r="B54" s="408"/>
      <c r="C54" s="100" t="s">
        <v>1633</v>
      </c>
      <c r="D54" s="100" t="s">
        <v>284</v>
      </c>
    </row>
    <row r="55" spans="1:4" ht="30">
      <c r="A55" s="408"/>
      <c r="B55" s="408"/>
      <c r="C55" s="100" t="s">
        <v>1634</v>
      </c>
      <c r="D55" s="151" t="s">
        <v>1631</v>
      </c>
    </row>
    <row r="56" spans="1:4" ht="30">
      <c r="A56" s="408"/>
      <c r="B56" s="408"/>
      <c r="C56" s="100" t="s">
        <v>1635</v>
      </c>
      <c r="D56" s="151" t="s">
        <v>1631</v>
      </c>
    </row>
    <row r="57" spans="1:4" ht="30">
      <c r="A57" s="409"/>
      <c r="B57" s="409"/>
      <c r="C57" s="151" t="s">
        <v>1636</v>
      </c>
      <c r="D57" s="151" t="s">
        <v>1631</v>
      </c>
    </row>
    <row r="58" spans="1:4">
      <c r="A58" s="150" t="s">
        <v>965</v>
      </c>
      <c r="B58" s="150" t="s">
        <v>1337</v>
      </c>
      <c r="C58" s="100" t="s">
        <v>284</v>
      </c>
      <c r="D58" s="100" t="s">
        <v>284</v>
      </c>
    </row>
    <row r="59" spans="1:4">
      <c r="A59" s="150" t="s">
        <v>1622</v>
      </c>
      <c r="B59" s="150" t="s">
        <v>1339</v>
      </c>
      <c r="C59" s="100" t="s">
        <v>284</v>
      </c>
      <c r="D59" s="100" t="s">
        <v>284</v>
      </c>
    </row>
    <row r="60" spans="1:4">
      <c r="A60" s="150" t="s">
        <v>965</v>
      </c>
      <c r="B60" s="150" t="s">
        <v>1341</v>
      </c>
      <c r="C60" s="100" t="s">
        <v>1023</v>
      </c>
      <c r="D60" s="100" t="s">
        <v>284</v>
      </c>
    </row>
    <row r="61" spans="1:4">
      <c r="A61" s="150" t="s">
        <v>1006</v>
      </c>
      <c r="B61" s="150" t="s">
        <v>1343</v>
      </c>
      <c r="C61" s="100" t="s">
        <v>284</v>
      </c>
      <c r="D61" s="100" t="s">
        <v>284</v>
      </c>
    </row>
    <row r="62" spans="1:4">
      <c r="A62" s="150" t="s">
        <v>965</v>
      </c>
      <c r="B62" s="150" t="s">
        <v>1345</v>
      </c>
      <c r="C62" s="100" t="s">
        <v>284</v>
      </c>
      <c r="D62" s="100" t="s">
        <v>284</v>
      </c>
    </row>
    <row r="63" spans="1:4">
      <c r="A63" s="150" t="s">
        <v>1637</v>
      </c>
      <c r="B63" s="150" t="s">
        <v>1018</v>
      </c>
      <c r="C63" s="100" t="s">
        <v>1464</v>
      </c>
      <c r="D63" s="100" t="s">
        <v>284</v>
      </c>
    </row>
    <row r="64" spans="1:4">
      <c r="A64" s="150" t="s">
        <v>1003</v>
      </c>
      <c r="B64" s="150" t="s">
        <v>1005</v>
      </c>
      <c r="C64" s="100" t="s">
        <v>1464</v>
      </c>
      <c r="D64" s="100" t="s">
        <v>284</v>
      </c>
    </row>
    <row r="65" spans="1:4" ht="30">
      <c r="A65" s="150" t="s">
        <v>1630</v>
      </c>
      <c r="B65" s="150" t="s">
        <v>1349</v>
      </c>
      <c r="C65" s="151" t="s">
        <v>1631</v>
      </c>
      <c r="D65" s="100" t="s">
        <v>284</v>
      </c>
    </row>
    <row r="66" spans="1:4">
      <c r="A66" s="150" t="s">
        <v>1630</v>
      </c>
      <c r="B66" s="150" t="s">
        <v>1351</v>
      </c>
      <c r="C66" s="100" t="s">
        <v>284</v>
      </c>
      <c r="D66" s="100" t="s">
        <v>284</v>
      </c>
    </row>
    <row r="67" spans="1:4">
      <c r="A67" s="150" t="s">
        <v>990</v>
      </c>
      <c r="B67" s="150" t="s">
        <v>1353</v>
      </c>
      <c r="C67" s="100" t="s">
        <v>284</v>
      </c>
      <c r="D67" s="100" t="s">
        <v>284</v>
      </c>
    </row>
    <row r="68" spans="1:4">
      <c r="A68" s="150" t="s">
        <v>990</v>
      </c>
      <c r="B68" s="150" t="s">
        <v>1355</v>
      </c>
      <c r="C68" s="100" t="s">
        <v>284</v>
      </c>
      <c r="D68" s="100" t="s">
        <v>284</v>
      </c>
    </row>
    <row r="69" spans="1:4">
      <c r="A69" s="150" t="s">
        <v>948</v>
      </c>
      <c r="B69" s="150" t="s">
        <v>1360</v>
      </c>
      <c r="C69" s="100" t="s">
        <v>284</v>
      </c>
      <c r="D69" s="100" t="s">
        <v>284</v>
      </c>
    </row>
    <row r="70" spans="1:4">
      <c r="A70" s="150" t="s">
        <v>1638</v>
      </c>
      <c r="B70" s="150" t="s">
        <v>1361</v>
      </c>
      <c r="C70" s="100" t="s">
        <v>284</v>
      </c>
      <c r="D70" s="100" t="s">
        <v>284</v>
      </c>
    </row>
    <row r="71" spans="1:4">
      <c r="A71" s="150" t="s">
        <v>944</v>
      </c>
      <c r="B71" s="150" t="s">
        <v>1363</v>
      </c>
      <c r="C71" s="100" t="s">
        <v>284</v>
      </c>
      <c r="D71" s="100" t="s">
        <v>284</v>
      </c>
    </row>
    <row r="72" spans="1:4">
      <c r="A72" s="150" t="s">
        <v>999</v>
      </c>
      <c r="B72" s="150" t="s">
        <v>1364</v>
      </c>
      <c r="C72" s="100" t="s">
        <v>284</v>
      </c>
      <c r="D72" s="100" t="s">
        <v>284</v>
      </c>
    </row>
    <row r="73" spans="1:4">
      <c r="A73" s="150" t="s">
        <v>962</v>
      </c>
      <c r="B73" s="150" t="s">
        <v>1366</v>
      </c>
      <c r="C73" s="100" t="s">
        <v>1464</v>
      </c>
      <c r="D73" s="100" t="s">
        <v>284</v>
      </c>
    </row>
    <row r="74" spans="1:4">
      <c r="A74" s="150" t="s">
        <v>1006</v>
      </c>
      <c r="B74" s="150" t="s">
        <v>1368</v>
      </c>
      <c r="C74" s="100" t="s">
        <v>284</v>
      </c>
      <c r="D74" s="100" t="s">
        <v>284</v>
      </c>
    </row>
    <row r="75" spans="1:4" ht="30">
      <c r="A75" s="150" t="s">
        <v>965</v>
      </c>
      <c r="B75" s="150" t="s">
        <v>1372</v>
      </c>
      <c r="C75" s="151" t="s">
        <v>1631</v>
      </c>
      <c r="D75" s="100" t="s">
        <v>284</v>
      </c>
    </row>
    <row r="76" spans="1:4">
      <c r="A76" s="150" t="s">
        <v>1623</v>
      </c>
      <c r="B76" s="150" t="s">
        <v>1374</v>
      </c>
      <c r="C76" s="100" t="s">
        <v>284</v>
      </c>
      <c r="D76" s="100" t="s">
        <v>284</v>
      </c>
    </row>
    <row r="77" spans="1:4">
      <c r="A77" s="150" t="s">
        <v>965</v>
      </c>
      <c r="B77" s="150" t="s">
        <v>1376</v>
      </c>
      <c r="C77" s="100" t="s">
        <v>1464</v>
      </c>
      <c r="D77" s="100" t="s">
        <v>284</v>
      </c>
    </row>
    <row r="78" spans="1:4">
      <c r="A78" s="150" t="s">
        <v>965</v>
      </c>
      <c r="B78" s="150" t="s">
        <v>1378</v>
      </c>
      <c r="C78" s="100" t="s">
        <v>284</v>
      </c>
      <c r="D78" s="100" t="s">
        <v>284</v>
      </c>
    </row>
    <row r="79" spans="1:4">
      <c r="A79" s="150" t="s">
        <v>1006</v>
      </c>
      <c r="B79" s="150" t="s">
        <v>1380</v>
      </c>
      <c r="C79" s="100" t="s">
        <v>284</v>
      </c>
      <c r="D79" s="100" t="s">
        <v>284</v>
      </c>
    </row>
    <row r="80" spans="1:4">
      <c r="A80" s="150" t="s">
        <v>1006</v>
      </c>
      <c r="B80" s="150" t="s">
        <v>1382</v>
      </c>
      <c r="C80" s="100" t="s">
        <v>284</v>
      </c>
      <c r="D80" s="100" t="s">
        <v>284</v>
      </c>
    </row>
  </sheetData>
  <mergeCells count="2">
    <mergeCell ref="A53:A57"/>
    <mergeCell ref="B53:B5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D1BE-03AA-422C-81E0-4226CE988357}">
  <dimension ref="A1:Q86"/>
  <sheetViews>
    <sheetView topLeftCell="A78" workbookViewId="0">
      <selection activeCell="A38" sqref="A1:XFD1048576"/>
    </sheetView>
  </sheetViews>
  <sheetFormatPr defaultColWidth="22" defaultRowHeight="15"/>
  <sheetData>
    <row r="1" spans="1:16" ht="47.25">
      <c r="A1" s="153" t="s">
        <v>1639</v>
      </c>
      <c r="B1" s="153" t="s">
        <v>923</v>
      </c>
      <c r="C1" s="153" t="s">
        <v>1640</v>
      </c>
      <c r="D1" s="153" t="s">
        <v>1641</v>
      </c>
      <c r="E1" s="153" t="s">
        <v>1642</v>
      </c>
      <c r="F1" s="153" t="s">
        <v>1643</v>
      </c>
      <c r="G1" s="153" t="s">
        <v>1644</v>
      </c>
    </row>
    <row r="2" spans="1:16" ht="47.25">
      <c r="A2" s="154">
        <v>1</v>
      </c>
      <c r="B2" s="155" t="s">
        <v>1232</v>
      </c>
      <c r="C2" s="155" t="s">
        <v>1645</v>
      </c>
      <c r="D2" s="155" t="s">
        <v>1646</v>
      </c>
      <c r="E2" s="155" t="s">
        <v>1647</v>
      </c>
      <c r="F2" s="155" t="s">
        <v>1576</v>
      </c>
      <c r="G2" s="97"/>
    </row>
    <row r="3" spans="1:16" ht="47.25">
      <c r="A3" s="154">
        <v>2</v>
      </c>
      <c r="B3" s="155" t="s">
        <v>1232</v>
      </c>
      <c r="C3" s="155" t="s">
        <v>1648</v>
      </c>
      <c r="D3" s="155" t="s">
        <v>1646</v>
      </c>
      <c r="E3" s="155" t="s">
        <v>1649</v>
      </c>
      <c r="F3" s="155" t="s">
        <v>1576</v>
      </c>
      <c r="G3" s="97"/>
    </row>
    <row r="4" spans="1:16" ht="47.25">
      <c r="A4" s="154">
        <v>3</v>
      </c>
      <c r="B4" s="155" t="s">
        <v>1234</v>
      </c>
      <c r="C4" s="155" t="s">
        <v>1650</v>
      </c>
      <c r="D4" s="155" t="s">
        <v>1651</v>
      </c>
      <c r="E4" s="155" t="s">
        <v>1652</v>
      </c>
      <c r="F4" s="155" t="s">
        <v>1576</v>
      </c>
      <c r="G4" s="97"/>
    </row>
    <row r="5" spans="1:16" ht="47.25">
      <c r="A5" s="154">
        <v>4</v>
      </c>
      <c r="B5" s="155" t="s">
        <v>1234</v>
      </c>
      <c r="C5" s="155" t="s">
        <v>1653</v>
      </c>
      <c r="D5" s="155" t="s">
        <v>1651</v>
      </c>
      <c r="E5" s="155" t="s">
        <v>1649</v>
      </c>
      <c r="F5" s="155" t="s">
        <v>1576</v>
      </c>
      <c r="G5" s="97"/>
    </row>
    <row r="6" spans="1:16" ht="47.25">
      <c r="A6" s="154">
        <v>5</v>
      </c>
      <c r="B6" s="155" t="s">
        <v>1238</v>
      </c>
      <c r="C6" s="155" t="s">
        <v>1654</v>
      </c>
      <c r="D6" s="155" t="s">
        <v>1655</v>
      </c>
      <c r="E6" s="155" t="s">
        <v>1647</v>
      </c>
      <c r="F6" s="155" t="s">
        <v>1576</v>
      </c>
      <c r="G6" s="97"/>
    </row>
    <row r="7" spans="1:16" ht="47.25">
      <c r="A7" s="154">
        <v>6</v>
      </c>
      <c r="B7" s="155" t="s">
        <v>1238</v>
      </c>
      <c r="C7" s="155" t="s">
        <v>1656</v>
      </c>
      <c r="D7" s="155" t="s">
        <v>1655</v>
      </c>
      <c r="E7" s="155" t="s">
        <v>1647</v>
      </c>
      <c r="F7" s="155" t="s">
        <v>1576</v>
      </c>
      <c r="G7" s="223"/>
      <c r="J7" s="365" t="s">
        <v>1657</v>
      </c>
      <c r="K7" s="365"/>
      <c r="L7" s="365"/>
      <c r="M7" s="365"/>
      <c r="N7" s="365"/>
      <c r="O7" s="365"/>
      <c r="P7" s="365"/>
    </row>
    <row r="8" spans="1:16" ht="47.25">
      <c r="A8" s="154">
        <v>7</v>
      </c>
      <c r="B8" s="155" t="s">
        <v>1238</v>
      </c>
      <c r="C8" s="155" t="s">
        <v>1658</v>
      </c>
      <c r="D8" s="155" t="s">
        <v>1655</v>
      </c>
      <c r="E8" s="155" t="s">
        <v>1647</v>
      </c>
      <c r="F8" s="155" t="s">
        <v>1576</v>
      </c>
      <c r="G8" s="223"/>
      <c r="J8" s="365"/>
      <c r="K8" s="365"/>
      <c r="L8" s="365"/>
      <c r="M8" s="365"/>
      <c r="N8" s="365"/>
      <c r="O8" s="365"/>
      <c r="P8" s="365"/>
    </row>
    <row r="9" spans="1:16" ht="47.25">
      <c r="A9" s="154">
        <v>8</v>
      </c>
      <c r="B9" s="155" t="s">
        <v>1238</v>
      </c>
      <c r="C9" s="155" t="s">
        <v>1659</v>
      </c>
      <c r="D9" s="155" t="s">
        <v>1655</v>
      </c>
      <c r="E9" s="155" t="s">
        <v>1647</v>
      </c>
      <c r="F9" s="155" t="s">
        <v>1576</v>
      </c>
      <c r="G9" s="223"/>
      <c r="J9" s="365"/>
      <c r="K9" s="365"/>
      <c r="L9" s="365"/>
      <c r="M9" s="365"/>
      <c r="N9" s="365"/>
      <c r="O9" s="365"/>
      <c r="P9" s="365"/>
    </row>
    <row r="10" spans="1:16" ht="47.25">
      <c r="A10" s="154">
        <v>9</v>
      </c>
      <c r="B10" s="155" t="s">
        <v>1240</v>
      </c>
      <c r="C10" s="155" t="s">
        <v>1660</v>
      </c>
      <c r="D10" s="155" t="s">
        <v>1661</v>
      </c>
      <c r="E10" s="155" t="s">
        <v>1647</v>
      </c>
      <c r="F10" s="155" t="s">
        <v>1576</v>
      </c>
      <c r="G10" s="223"/>
      <c r="J10" s="365"/>
      <c r="K10" s="365"/>
      <c r="L10" s="365"/>
      <c r="M10" s="365"/>
      <c r="N10" s="365"/>
      <c r="O10" s="365"/>
      <c r="P10" s="365"/>
    </row>
    <row r="11" spans="1:16" ht="47.25">
      <c r="A11" s="154">
        <v>10</v>
      </c>
      <c r="B11" s="156" t="s">
        <v>1243</v>
      </c>
      <c r="C11" s="156" t="s">
        <v>1662</v>
      </c>
      <c r="D11" s="156" t="s">
        <v>1663</v>
      </c>
      <c r="E11" s="156" t="s">
        <v>1664</v>
      </c>
      <c r="F11" s="156" t="s">
        <v>1576</v>
      </c>
      <c r="G11" s="97"/>
      <c r="J11" s="365"/>
      <c r="K11" s="365"/>
      <c r="L11" s="365"/>
      <c r="M11" s="365"/>
      <c r="N11" s="365"/>
      <c r="O11" s="365"/>
      <c r="P11" s="365"/>
    </row>
    <row r="12" spans="1:16" ht="47.25">
      <c r="A12" s="154">
        <v>11</v>
      </c>
      <c r="B12" s="155" t="s">
        <v>1243</v>
      </c>
      <c r="C12" s="155" t="s">
        <v>1665</v>
      </c>
      <c r="D12" s="155" t="s">
        <v>1666</v>
      </c>
      <c r="E12" s="155" t="s">
        <v>1647</v>
      </c>
      <c r="F12" s="155" t="s">
        <v>1576</v>
      </c>
      <c r="G12" s="97"/>
      <c r="J12" s="365"/>
      <c r="K12" s="365"/>
      <c r="L12" s="365"/>
      <c r="M12" s="365"/>
      <c r="N12" s="365"/>
      <c r="O12" s="365"/>
      <c r="P12" s="365"/>
    </row>
    <row r="13" spans="1:16" ht="47.25">
      <c r="A13" s="154">
        <v>12</v>
      </c>
      <c r="B13" s="155" t="s">
        <v>1243</v>
      </c>
      <c r="C13" s="155" t="s">
        <v>1667</v>
      </c>
      <c r="D13" s="155" t="s">
        <v>1668</v>
      </c>
      <c r="E13" s="155" t="s">
        <v>1647</v>
      </c>
      <c r="F13" s="155" t="s">
        <v>1576</v>
      </c>
      <c r="G13" s="97"/>
      <c r="J13" s="365"/>
      <c r="K13" s="365"/>
      <c r="L13" s="365"/>
      <c r="M13" s="365"/>
      <c r="N13" s="365"/>
      <c r="O13" s="365"/>
      <c r="P13" s="365"/>
    </row>
    <row r="14" spans="1:16" ht="47.25">
      <c r="A14" s="154">
        <v>13</v>
      </c>
      <c r="B14" s="155" t="s">
        <v>940</v>
      </c>
      <c r="C14" s="155" t="s">
        <v>1669</v>
      </c>
      <c r="D14" s="155" t="s">
        <v>1670</v>
      </c>
      <c r="E14" s="155" t="s">
        <v>1647</v>
      </c>
      <c r="F14" s="155" t="s">
        <v>1576</v>
      </c>
      <c r="G14" s="97"/>
      <c r="J14" s="365"/>
      <c r="K14" s="365"/>
      <c r="L14" s="365"/>
      <c r="M14" s="365"/>
      <c r="N14" s="365"/>
      <c r="O14" s="365"/>
      <c r="P14" s="365"/>
    </row>
    <row r="15" spans="1:16" ht="63">
      <c r="A15" s="154">
        <v>14</v>
      </c>
      <c r="B15" s="155" t="s">
        <v>1246</v>
      </c>
      <c r="C15" s="155" t="s">
        <v>1671</v>
      </c>
      <c r="D15" s="155" t="s">
        <v>1672</v>
      </c>
      <c r="E15" s="155" t="s">
        <v>1647</v>
      </c>
      <c r="F15" s="155" t="s">
        <v>1576</v>
      </c>
      <c r="G15" s="223" t="s">
        <v>1214</v>
      </c>
      <c r="J15" s="365"/>
      <c r="K15" s="365"/>
      <c r="L15" s="365"/>
      <c r="M15" s="365"/>
      <c r="N15" s="365"/>
      <c r="O15" s="365"/>
      <c r="P15" s="365"/>
    </row>
    <row r="16" spans="1:16" ht="47.25">
      <c r="A16" s="154">
        <v>15</v>
      </c>
      <c r="B16" s="156" t="s">
        <v>1248</v>
      </c>
      <c r="C16" s="156" t="s">
        <v>1248</v>
      </c>
      <c r="D16" s="156" t="s">
        <v>1673</v>
      </c>
      <c r="E16" s="156" t="s">
        <v>1674</v>
      </c>
      <c r="F16" s="156" t="s">
        <v>1532</v>
      </c>
      <c r="G16" s="223" t="s">
        <v>1214</v>
      </c>
    </row>
    <row r="17" spans="1:7" ht="47.25">
      <c r="A17" s="154">
        <v>16</v>
      </c>
      <c r="B17" s="156" t="s">
        <v>1249</v>
      </c>
      <c r="C17" s="156" t="s">
        <v>1249</v>
      </c>
      <c r="D17" s="156" t="s">
        <v>1675</v>
      </c>
      <c r="E17" s="156" t="s">
        <v>1674</v>
      </c>
      <c r="F17" s="156" t="s">
        <v>1532</v>
      </c>
      <c r="G17" s="97"/>
    </row>
    <row r="18" spans="1:7" ht="47.25">
      <c r="A18" s="154">
        <v>17</v>
      </c>
      <c r="B18" s="155" t="s">
        <v>1250</v>
      </c>
      <c r="C18" s="155" t="s">
        <v>1676</v>
      </c>
      <c r="D18" s="155" t="s">
        <v>1677</v>
      </c>
      <c r="E18" s="155" t="s">
        <v>1652</v>
      </c>
      <c r="F18" s="155" t="s">
        <v>1576</v>
      </c>
      <c r="G18" s="97"/>
    </row>
    <row r="19" spans="1:7" ht="47.25">
      <c r="A19" s="154">
        <v>18</v>
      </c>
      <c r="B19" s="155" t="s">
        <v>1252</v>
      </c>
      <c r="C19" s="155" t="s">
        <v>1676</v>
      </c>
      <c r="D19" s="155" t="s">
        <v>1677</v>
      </c>
      <c r="E19" s="155" t="s">
        <v>1652</v>
      </c>
      <c r="F19" s="155" t="s">
        <v>1576</v>
      </c>
      <c r="G19" s="97"/>
    </row>
    <row r="20" spans="1:7" ht="47.25">
      <c r="A20" s="154">
        <v>19</v>
      </c>
      <c r="B20" s="155" t="s">
        <v>1250</v>
      </c>
      <c r="C20" s="155" t="s">
        <v>1678</v>
      </c>
      <c r="D20" s="155" t="s">
        <v>1677</v>
      </c>
      <c r="E20" s="155" t="s">
        <v>1649</v>
      </c>
      <c r="F20" s="155" t="s">
        <v>1576</v>
      </c>
      <c r="G20" s="97"/>
    </row>
    <row r="21" spans="1:7" ht="47.25">
      <c r="A21" s="154">
        <v>20</v>
      </c>
      <c r="B21" s="155" t="s">
        <v>1041</v>
      </c>
      <c r="C21" s="155" t="s">
        <v>1679</v>
      </c>
      <c r="D21" s="155" t="s">
        <v>1680</v>
      </c>
      <c r="E21" s="155" t="s">
        <v>1674</v>
      </c>
      <c r="F21" s="155" t="s">
        <v>1532</v>
      </c>
      <c r="G21" s="97"/>
    </row>
    <row r="22" spans="1:7" ht="31.5">
      <c r="A22" s="154">
        <v>21</v>
      </c>
      <c r="B22" s="155" t="s">
        <v>1257</v>
      </c>
      <c r="C22" s="155" t="s">
        <v>1681</v>
      </c>
      <c r="D22" s="155" t="s">
        <v>1682</v>
      </c>
      <c r="E22" s="155" t="s">
        <v>1683</v>
      </c>
      <c r="F22" s="155" t="s">
        <v>1576</v>
      </c>
      <c r="G22" s="97"/>
    </row>
    <row r="23" spans="1:7" ht="31.5">
      <c r="A23" s="154">
        <v>22</v>
      </c>
      <c r="B23" s="155" t="s">
        <v>1257</v>
      </c>
      <c r="C23" s="155" t="s">
        <v>1684</v>
      </c>
      <c r="D23" s="155" t="s">
        <v>1682</v>
      </c>
      <c r="E23" s="155" t="s">
        <v>1649</v>
      </c>
      <c r="F23" s="155" t="s">
        <v>1576</v>
      </c>
      <c r="G23" s="97"/>
    </row>
    <row r="24" spans="1:7" ht="31.5">
      <c r="A24" s="154">
        <v>23</v>
      </c>
      <c r="B24" s="155" t="s">
        <v>1263</v>
      </c>
      <c r="C24" s="155" t="s">
        <v>1685</v>
      </c>
      <c r="D24" s="155" t="s">
        <v>1264</v>
      </c>
      <c r="E24" s="155" t="s">
        <v>1652</v>
      </c>
      <c r="F24" s="155" t="s">
        <v>1576</v>
      </c>
      <c r="G24" s="97"/>
    </row>
    <row r="25" spans="1:7" ht="31.5">
      <c r="A25" s="154">
        <v>24</v>
      </c>
      <c r="B25" s="155" t="s">
        <v>1263</v>
      </c>
      <c r="C25" s="155" t="s">
        <v>1686</v>
      </c>
      <c r="D25" s="155" t="s">
        <v>1264</v>
      </c>
      <c r="E25" s="155" t="s">
        <v>1649</v>
      </c>
      <c r="F25" s="155" t="s">
        <v>1576</v>
      </c>
      <c r="G25" s="97"/>
    </row>
    <row r="26" spans="1:7" ht="63">
      <c r="A26" s="154">
        <v>25</v>
      </c>
      <c r="B26" s="155" t="s">
        <v>1265</v>
      </c>
      <c r="C26" s="155" t="s">
        <v>1687</v>
      </c>
      <c r="D26" s="155" t="s">
        <v>1688</v>
      </c>
      <c r="E26" s="155" t="s">
        <v>1674</v>
      </c>
      <c r="F26" s="155" t="s">
        <v>1576</v>
      </c>
      <c r="G26" s="97"/>
    </row>
    <row r="27" spans="1:7" ht="47.25">
      <c r="A27" s="154">
        <v>26</v>
      </c>
      <c r="B27" s="155" t="s">
        <v>1011</v>
      </c>
      <c r="C27" s="155" t="s">
        <v>1689</v>
      </c>
      <c r="D27" s="155" t="s">
        <v>1690</v>
      </c>
      <c r="E27" s="155" t="s">
        <v>1674</v>
      </c>
      <c r="F27" s="155" t="s">
        <v>1576</v>
      </c>
      <c r="G27" s="97"/>
    </row>
    <row r="28" spans="1:7" ht="63">
      <c r="A28" s="154">
        <v>27</v>
      </c>
      <c r="B28" s="155" t="s">
        <v>1011</v>
      </c>
      <c r="C28" s="155" t="s">
        <v>1691</v>
      </c>
      <c r="D28" s="155" t="s">
        <v>1692</v>
      </c>
      <c r="E28" s="155"/>
      <c r="F28" s="155" t="s">
        <v>1576</v>
      </c>
      <c r="G28" s="97"/>
    </row>
    <row r="29" spans="1:7" ht="47.25">
      <c r="A29" s="154">
        <v>28</v>
      </c>
      <c r="B29" s="155" t="s">
        <v>1274</v>
      </c>
      <c r="C29" s="155" t="s">
        <v>1693</v>
      </c>
      <c r="D29" s="155" t="s">
        <v>1275</v>
      </c>
      <c r="E29" s="155" t="s">
        <v>1674</v>
      </c>
      <c r="F29" s="155" t="s">
        <v>1576</v>
      </c>
      <c r="G29" s="97"/>
    </row>
    <row r="30" spans="1:7" ht="63">
      <c r="A30" s="154">
        <v>29</v>
      </c>
      <c r="B30" s="155" t="s">
        <v>978</v>
      </c>
      <c r="C30" s="155" t="s">
        <v>1694</v>
      </c>
      <c r="D30" s="155" t="s">
        <v>1695</v>
      </c>
      <c r="E30" s="155" t="s">
        <v>1674</v>
      </c>
      <c r="F30" s="155" t="s">
        <v>1576</v>
      </c>
      <c r="G30" s="97"/>
    </row>
    <row r="31" spans="1:7" ht="31.5">
      <c r="A31" s="154">
        <v>30</v>
      </c>
      <c r="B31" s="155" t="s">
        <v>1283</v>
      </c>
      <c r="C31" s="155" t="s">
        <v>1696</v>
      </c>
      <c r="D31" s="155" t="s">
        <v>1697</v>
      </c>
      <c r="E31" s="155" t="s">
        <v>1698</v>
      </c>
      <c r="F31" s="155" t="s">
        <v>1576</v>
      </c>
      <c r="G31" s="97"/>
    </row>
    <row r="32" spans="1:7" ht="31.5">
      <c r="A32" s="154">
        <v>31</v>
      </c>
      <c r="B32" s="155" t="s">
        <v>1287</v>
      </c>
      <c r="C32" s="155" t="s">
        <v>1699</v>
      </c>
      <c r="D32" s="155" t="s">
        <v>1700</v>
      </c>
      <c r="E32" s="155" t="s">
        <v>1683</v>
      </c>
      <c r="F32" s="155" t="s">
        <v>1576</v>
      </c>
      <c r="G32" s="97"/>
    </row>
    <row r="33" spans="1:7" ht="47.25">
      <c r="A33" s="154">
        <v>32</v>
      </c>
      <c r="B33" s="155" t="s">
        <v>1288</v>
      </c>
      <c r="C33" s="155" t="s">
        <v>1701</v>
      </c>
      <c r="D33" s="155" t="s">
        <v>1702</v>
      </c>
      <c r="E33" s="155" t="s">
        <v>1002</v>
      </c>
      <c r="F33" s="155" t="s">
        <v>1576</v>
      </c>
      <c r="G33" s="97"/>
    </row>
    <row r="34" spans="1:7" ht="63">
      <c r="A34" s="154">
        <v>33</v>
      </c>
      <c r="B34" s="155" t="s">
        <v>1290</v>
      </c>
      <c r="C34" s="155" t="s">
        <v>1703</v>
      </c>
      <c r="D34" s="155" t="s">
        <v>1704</v>
      </c>
      <c r="E34" s="155" t="s">
        <v>1002</v>
      </c>
      <c r="F34" s="155" t="s">
        <v>1576</v>
      </c>
      <c r="G34" s="97"/>
    </row>
    <row r="35" spans="1:7" ht="63">
      <c r="A35" s="154">
        <v>34</v>
      </c>
      <c r="B35" s="155" t="s">
        <v>1292</v>
      </c>
      <c r="C35" s="155" t="s">
        <v>1705</v>
      </c>
      <c r="D35" s="155" t="s">
        <v>1706</v>
      </c>
      <c r="E35" s="155" t="s">
        <v>1002</v>
      </c>
      <c r="F35" s="155" t="s">
        <v>1576</v>
      </c>
      <c r="G35" s="97"/>
    </row>
    <row r="36" spans="1:7" ht="47.25">
      <c r="A36" s="154">
        <v>35</v>
      </c>
      <c r="B36" s="155" t="s">
        <v>1294</v>
      </c>
      <c r="C36" s="155" t="s">
        <v>1707</v>
      </c>
      <c r="D36" s="155" t="s">
        <v>1708</v>
      </c>
      <c r="E36" s="155" t="s">
        <v>1002</v>
      </c>
      <c r="F36" s="155" t="s">
        <v>1576</v>
      </c>
      <c r="G36" s="97"/>
    </row>
    <row r="37" spans="1:7" ht="47.25">
      <c r="A37" s="154">
        <v>36</v>
      </c>
      <c r="B37" s="155" t="s">
        <v>1296</v>
      </c>
      <c r="C37" s="155" t="s">
        <v>1709</v>
      </c>
      <c r="D37" s="155" t="s">
        <v>1710</v>
      </c>
      <c r="E37" s="155" t="s">
        <v>1683</v>
      </c>
      <c r="F37" s="155" t="s">
        <v>1576</v>
      </c>
      <c r="G37" s="97"/>
    </row>
    <row r="38" spans="1:7" ht="47.25">
      <c r="A38" s="154">
        <v>37</v>
      </c>
      <c r="B38" s="155" t="s">
        <v>1296</v>
      </c>
      <c r="C38" s="155" t="s">
        <v>1711</v>
      </c>
      <c r="D38" s="155" t="s">
        <v>1712</v>
      </c>
      <c r="E38" s="155" t="s">
        <v>1649</v>
      </c>
      <c r="F38" s="155" t="s">
        <v>1576</v>
      </c>
      <c r="G38" s="97"/>
    </row>
    <row r="39" spans="1:7" ht="47.25">
      <c r="A39" s="154">
        <v>38</v>
      </c>
      <c r="B39" s="155" t="s">
        <v>1296</v>
      </c>
      <c r="C39" s="155" t="s">
        <v>1713</v>
      </c>
      <c r="D39" s="155" t="s">
        <v>1714</v>
      </c>
      <c r="E39" s="155" t="s">
        <v>1647</v>
      </c>
      <c r="F39" s="155" t="s">
        <v>1576</v>
      </c>
      <c r="G39" s="97"/>
    </row>
    <row r="40" spans="1:7" ht="47.25">
      <c r="A40" s="154">
        <v>39</v>
      </c>
      <c r="B40" s="155" t="s">
        <v>1300</v>
      </c>
      <c r="C40" s="155" t="s">
        <v>1715</v>
      </c>
      <c r="D40" s="155" t="s">
        <v>1716</v>
      </c>
      <c r="E40" s="155" t="s">
        <v>1674</v>
      </c>
      <c r="F40" s="155" t="s">
        <v>1532</v>
      </c>
      <c r="G40" s="97"/>
    </row>
    <row r="41" spans="1:7" ht="31.5">
      <c r="A41" s="154">
        <v>40</v>
      </c>
      <c r="B41" s="155" t="s">
        <v>1302</v>
      </c>
      <c r="C41" s="155" t="s">
        <v>1717</v>
      </c>
      <c r="D41" s="155" t="s">
        <v>1718</v>
      </c>
      <c r="E41" s="155" t="s">
        <v>979</v>
      </c>
      <c r="F41" s="155" t="s">
        <v>1576</v>
      </c>
      <c r="G41" s="97"/>
    </row>
    <row r="42" spans="1:7" ht="47.25">
      <c r="A42" s="154">
        <v>41</v>
      </c>
      <c r="B42" s="155" t="s">
        <v>1304</v>
      </c>
      <c r="C42" s="155" t="s">
        <v>1719</v>
      </c>
      <c r="D42" s="155" t="s">
        <v>1720</v>
      </c>
      <c r="E42" s="155" t="s">
        <v>1721</v>
      </c>
      <c r="F42" s="155" t="s">
        <v>1576</v>
      </c>
      <c r="G42" s="97"/>
    </row>
    <row r="43" spans="1:7" ht="63">
      <c r="A43" s="154">
        <v>42</v>
      </c>
      <c r="B43" s="155" t="s">
        <v>998</v>
      </c>
      <c r="C43" s="155" t="s">
        <v>1722</v>
      </c>
      <c r="D43" s="155" t="s">
        <v>1723</v>
      </c>
      <c r="E43" s="155" t="s">
        <v>1698</v>
      </c>
      <c r="F43" s="155" t="s">
        <v>1576</v>
      </c>
      <c r="G43" s="97"/>
    </row>
    <row r="44" spans="1:7" ht="47.25">
      <c r="A44" s="154">
        <v>43</v>
      </c>
      <c r="B44" s="155" t="s">
        <v>1309</v>
      </c>
      <c r="C44" s="155" t="s">
        <v>1724</v>
      </c>
      <c r="D44" s="155" t="s">
        <v>1310</v>
      </c>
      <c r="E44" s="155" t="s">
        <v>979</v>
      </c>
      <c r="F44" s="155" t="s">
        <v>1576</v>
      </c>
      <c r="G44" s="97"/>
    </row>
    <row r="45" spans="1:7" ht="47.25">
      <c r="A45" s="154">
        <v>44</v>
      </c>
      <c r="B45" s="155" t="s">
        <v>1311</v>
      </c>
      <c r="C45" s="155" t="s">
        <v>1725</v>
      </c>
      <c r="D45" s="155" t="s">
        <v>1726</v>
      </c>
      <c r="E45" s="155" t="s">
        <v>979</v>
      </c>
      <c r="F45" s="155" t="s">
        <v>1576</v>
      </c>
      <c r="G45" s="97"/>
    </row>
    <row r="46" spans="1:7" ht="47.25">
      <c r="A46" s="154">
        <v>45</v>
      </c>
      <c r="B46" s="155" t="s">
        <v>1313</v>
      </c>
      <c r="C46" s="155" t="s">
        <v>1725</v>
      </c>
      <c r="D46" s="155" t="s">
        <v>1726</v>
      </c>
      <c r="E46" s="155" t="s">
        <v>979</v>
      </c>
      <c r="F46" s="155" t="s">
        <v>1576</v>
      </c>
      <c r="G46" s="97"/>
    </row>
    <row r="47" spans="1:7" ht="47.25">
      <c r="A47" s="154">
        <v>46</v>
      </c>
      <c r="B47" s="155" t="s">
        <v>1315</v>
      </c>
      <c r="C47" s="155" t="s">
        <v>1725</v>
      </c>
      <c r="D47" s="155" t="s">
        <v>1726</v>
      </c>
      <c r="E47" s="155" t="s">
        <v>979</v>
      </c>
      <c r="F47" s="155" t="s">
        <v>1576</v>
      </c>
      <c r="G47" s="97"/>
    </row>
    <row r="48" spans="1:7" ht="47.25">
      <c r="A48" s="154">
        <v>47</v>
      </c>
      <c r="B48" s="155" t="s">
        <v>1317</v>
      </c>
      <c r="C48" s="155" t="s">
        <v>1727</v>
      </c>
      <c r="D48" s="155" t="s">
        <v>1728</v>
      </c>
      <c r="E48" s="155" t="s">
        <v>979</v>
      </c>
      <c r="F48" s="155" t="s">
        <v>1576</v>
      </c>
      <c r="G48" s="97"/>
    </row>
    <row r="49" spans="1:7" ht="47.25">
      <c r="A49" s="154">
        <v>48</v>
      </c>
      <c r="B49" s="155" t="s">
        <v>1319</v>
      </c>
      <c r="C49" s="155" t="s">
        <v>1729</v>
      </c>
      <c r="D49" s="155" t="s">
        <v>1730</v>
      </c>
      <c r="E49" s="155" t="s">
        <v>979</v>
      </c>
      <c r="F49" s="155" t="s">
        <v>1576</v>
      </c>
      <c r="G49" s="97"/>
    </row>
    <row r="50" spans="1:7" ht="47.25">
      <c r="A50" s="154">
        <v>49</v>
      </c>
      <c r="B50" s="155" t="s">
        <v>1321</v>
      </c>
      <c r="C50" s="155" t="s">
        <v>1731</v>
      </c>
      <c r="D50" s="155" t="s">
        <v>1732</v>
      </c>
      <c r="E50" s="155" t="s">
        <v>979</v>
      </c>
      <c r="F50" s="155" t="s">
        <v>1576</v>
      </c>
      <c r="G50" s="97"/>
    </row>
    <row r="51" spans="1:7" ht="47.25">
      <c r="A51" s="154">
        <v>50</v>
      </c>
      <c r="B51" s="155" t="s">
        <v>1323</v>
      </c>
      <c r="C51" s="155" t="s">
        <v>1733</v>
      </c>
      <c r="D51" s="155" t="s">
        <v>1734</v>
      </c>
      <c r="E51" s="155" t="s">
        <v>979</v>
      </c>
      <c r="F51" s="155" t="s">
        <v>1576</v>
      </c>
      <c r="G51" s="97"/>
    </row>
    <row r="52" spans="1:7" ht="47.25">
      <c r="A52" s="154">
        <v>51</v>
      </c>
      <c r="B52" s="155" t="s">
        <v>1325</v>
      </c>
      <c r="C52" s="155" t="s">
        <v>1735</v>
      </c>
      <c r="D52" s="155" t="s">
        <v>1736</v>
      </c>
      <c r="E52" s="155" t="s">
        <v>1002</v>
      </c>
      <c r="F52" s="155" t="s">
        <v>1576</v>
      </c>
      <c r="G52" s="97"/>
    </row>
    <row r="53" spans="1:7" ht="47.25">
      <c r="A53" s="154">
        <v>52</v>
      </c>
      <c r="B53" s="155" t="s">
        <v>1327</v>
      </c>
      <c r="C53" s="155" t="s">
        <v>1737</v>
      </c>
      <c r="D53" s="155" t="s">
        <v>1738</v>
      </c>
      <c r="E53" s="155" t="s">
        <v>1698</v>
      </c>
      <c r="F53" s="155" t="s">
        <v>1576</v>
      </c>
      <c r="G53" s="97"/>
    </row>
    <row r="54" spans="1:7" ht="47.25">
      <c r="A54" s="154">
        <v>53</v>
      </c>
      <c r="B54" s="155" t="s">
        <v>1339</v>
      </c>
      <c r="C54" s="155" t="s">
        <v>1739</v>
      </c>
      <c r="D54" s="155" t="s">
        <v>1740</v>
      </c>
      <c r="E54" s="155" t="s">
        <v>1741</v>
      </c>
      <c r="F54" s="155" t="s">
        <v>1576</v>
      </c>
      <c r="G54" s="97"/>
    </row>
    <row r="55" spans="1:7" ht="31.5">
      <c r="A55" s="154">
        <v>54</v>
      </c>
      <c r="B55" s="155" t="s">
        <v>1345</v>
      </c>
      <c r="C55" s="155" t="s">
        <v>1742</v>
      </c>
      <c r="D55" s="155" t="s">
        <v>1743</v>
      </c>
      <c r="E55" s="155" t="s">
        <v>1683</v>
      </c>
      <c r="F55" s="155" t="s">
        <v>1576</v>
      </c>
      <c r="G55" s="97"/>
    </row>
    <row r="56" spans="1:7" ht="47.25">
      <c r="A56" s="154">
        <v>55</v>
      </c>
      <c r="B56" s="155" t="s">
        <v>1345</v>
      </c>
      <c r="C56" s="155" t="s">
        <v>1744</v>
      </c>
      <c r="D56" s="155" t="s">
        <v>1745</v>
      </c>
      <c r="E56" s="155" t="s">
        <v>1683</v>
      </c>
      <c r="F56" s="155" t="s">
        <v>1576</v>
      </c>
      <c r="G56" s="97"/>
    </row>
    <row r="57" spans="1:7" ht="47.25">
      <c r="A57" s="154">
        <v>56</v>
      </c>
      <c r="B57" s="155" t="s">
        <v>1018</v>
      </c>
      <c r="C57" s="155" t="s">
        <v>1746</v>
      </c>
      <c r="D57" s="155" t="s">
        <v>1747</v>
      </c>
      <c r="E57" s="155" t="s">
        <v>1002</v>
      </c>
      <c r="F57" s="155" t="s">
        <v>1576</v>
      </c>
      <c r="G57" s="97"/>
    </row>
    <row r="58" spans="1:7" ht="47.25">
      <c r="A58" s="154">
        <v>57</v>
      </c>
      <c r="B58" s="155" t="s">
        <v>1018</v>
      </c>
      <c r="C58" s="155" t="s">
        <v>1748</v>
      </c>
      <c r="D58" s="155" t="s">
        <v>1749</v>
      </c>
      <c r="E58" s="155" t="s">
        <v>1002</v>
      </c>
      <c r="F58" s="155" t="s">
        <v>1576</v>
      </c>
      <c r="G58" s="97"/>
    </row>
    <row r="59" spans="1:7" ht="63">
      <c r="A59" s="154">
        <v>58</v>
      </c>
      <c r="B59" s="155" t="s">
        <v>1005</v>
      </c>
      <c r="C59" s="155" t="s">
        <v>1750</v>
      </c>
      <c r="D59" s="155" t="s">
        <v>1751</v>
      </c>
      <c r="E59" s="155" t="s">
        <v>1002</v>
      </c>
      <c r="F59" s="155" t="s">
        <v>1576</v>
      </c>
      <c r="G59" s="97"/>
    </row>
    <row r="60" spans="1:7" ht="31.5">
      <c r="A60" s="154">
        <v>59</v>
      </c>
      <c r="B60" s="155" t="s">
        <v>1349</v>
      </c>
      <c r="C60" s="155" t="s">
        <v>1752</v>
      </c>
      <c r="D60" s="155" t="s">
        <v>1753</v>
      </c>
      <c r="E60" s="155" t="s">
        <v>1647</v>
      </c>
      <c r="F60" s="155" t="s">
        <v>1576</v>
      </c>
      <c r="G60" s="97"/>
    </row>
    <row r="61" spans="1:7" ht="47.25">
      <c r="A61" s="154">
        <v>60</v>
      </c>
      <c r="B61" s="155" t="s">
        <v>1353</v>
      </c>
      <c r="C61" s="155" t="s">
        <v>1754</v>
      </c>
      <c r="D61" s="155" t="s">
        <v>1755</v>
      </c>
      <c r="E61" s="155" t="s">
        <v>1698</v>
      </c>
      <c r="F61" s="155" t="s">
        <v>1576</v>
      </c>
      <c r="G61" s="97"/>
    </row>
    <row r="62" spans="1:7" ht="47.25">
      <c r="A62" s="154">
        <v>61</v>
      </c>
      <c r="B62" s="155" t="s">
        <v>1355</v>
      </c>
      <c r="C62" s="155" t="s">
        <v>1756</v>
      </c>
      <c r="D62" s="155" t="s">
        <v>1757</v>
      </c>
      <c r="E62" s="155" t="s">
        <v>1698</v>
      </c>
      <c r="F62" s="155" t="s">
        <v>1576</v>
      </c>
      <c r="G62" s="97"/>
    </row>
    <row r="63" spans="1:7" ht="47.25">
      <c r="A63" s="154">
        <v>62</v>
      </c>
      <c r="B63" s="155" t="s">
        <v>1357</v>
      </c>
      <c r="C63" s="155" t="s">
        <v>1758</v>
      </c>
      <c r="D63" s="155" t="s">
        <v>1759</v>
      </c>
      <c r="E63" s="155" t="s">
        <v>1674</v>
      </c>
      <c r="F63" s="155" t="s">
        <v>1532</v>
      </c>
      <c r="G63" s="97"/>
    </row>
    <row r="64" spans="1:7" ht="47.25">
      <c r="A64" s="154">
        <v>63</v>
      </c>
      <c r="B64" s="155" t="s">
        <v>1359</v>
      </c>
      <c r="C64" s="155" t="s">
        <v>1359</v>
      </c>
      <c r="D64" s="155" t="s">
        <v>1760</v>
      </c>
      <c r="E64" s="155" t="s">
        <v>1674</v>
      </c>
      <c r="F64" s="155" t="s">
        <v>1532</v>
      </c>
      <c r="G64" s="97"/>
    </row>
    <row r="65" spans="1:17" ht="47.25">
      <c r="A65" s="154">
        <v>64</v>
      </c>
      <c r="B65" s="155" t="s">
        <v>1361</v>
      </c>
      <c r="C65" s="155" t="s">
        <v>1761</v>
      </c>
      <c r="D65" s="155" t="s">
        <v>1762</v>
      </c>
      <c r="E65" s="155" t="s">
        <v>1649</v>
      </c>
      <c r="F65" s="155" t="s">
        <v>1576</v>
      </c>
      <c r="G65" s="97"/>
    </row>
    <row r="66" spans="1:17" ht="47.25">
      <c r="A66" s="154">
        <v>65</v>
      </c>
      <c r="B66" s="155" t="s">
        <v>1364</v>
      </c>
      <c r="C66" s="155" t="s">
        <v>1763</v>
      </c>
      <c r="D66" s="155" t="s">
        <v>1764</v>
      </c>
      <c r="E66" s="155" t="s">
        <v>1698</v>
      </c>
      <c r="F66" s="155" t="s">
        <v>1576</v>
      </c>
      <c r="G66" s="97"/>
    </row>
    <row r="67" spans="1:17" ht="47.25">
      <c r="A67" s="154">
        <v>66</v>
      </c>
      <c r="B67" s="155" t="s">
        <v>1368</v>
      </c>
      <c r="C67" s="155" t="s">
        <v>1765</v>
      </c>
      <c r="D67" s="155" t="s">
        <v>1766</v>
      </c>
      <c r="E67" s="155" t="s">
        <v>1002</v>
      </c>
      <c r="F67" s="155" t="s">
        <v>1576</v>
      </c>
      <c r="G67" s="97"/>
    </row>
    <row r="68" spans="1:17" ht="47.25">
      <c r="A68" s="154">
        <v>67</v>
      </c>
      <c r="B68" s="155" t="s">
        <v>1370</v>
      </c>
      <c r="C68" s="155" t="s">
        <v>1767</v>
      </c>
      <c r="D68" s="155" t="s">
        <v>1768</v>
      </c>
      <c r="E68" s="155" t="s">
        <v>1674</v>
      </c>
      <c r="F68" s="155" t="s">
        <v>1532</v>
      </c>
      <c r="G68" s="97"/>
    </row>
    <row r="69" spans="1:17" ht="47.25">
      <c r="A69" s="154">
        <v>68</v>
      </c>
      <c r="B69" s="155" t="s">
        <v>1378</v>
      </c>
      <c r="C69" s="155" t="s">
        <v>1769</v>
      </c>
      <c r="D69" s="155" t="s">
        <v>1770</v>
      </c>
      <c r="E69" s="155" t="s">
        <v>1683</v>
      </c>
      <c r="F69" s="155" t="s">
        <v>1576</v>
      </c>
      <c r="G69" s="97"/>
    </row>
    <row r="70" spans="1:17" ht="31.5">
      <c r="A70" s="154">
        <v>69</v>
      </c>
      <c r="B70" s="155" t="s">
        <v>1380</v>
      </c>
      <c r="C70" s="155" t="s">
        <v>1771</v>
      </c>
      <c r="D70" s="155" t="s">
        <v>1772</v>
      </c>
      <c r="E70" s="155" t="s">
        <v>1002</v>
      </c>
      <c r="F70" s="155" t="s">
        <v>1576</v>
      </c>
      <c r="G70" s="97"/>
    </row>
    <row r="71" spans="1:17" ht="47.25">
      <c r="A71" s="154">
        <v>70</v>
      </c>
      <c r="B71" s="155" t="s">
        <v>1382</v>
      </c>
      <c r="C71" s="155" t="s">
        <v>1773</v>
      </c>
      <c r="D71" s="155" t="s">
        <v>1774</v>
      </c>
      <c r="E71" s="155" t="s">
        <v>1002</v>
      </c>
      <c r="F71" s="155" t="s">
        <v>1576</v>
      </c>
      <c r="G71" s="97"/>
    </row>
    <row r="72" spans="1:17" ht="31.5">
      <c r="A72" s="154">
        <v>71</v>
      </c>
      <c r="B72" s="155" t="s">
        <v>1226</v>
      </c>
      <c r="C72" s="155" t="s">
        <v>1775</v>
      </c>
      <c r="D72" s="155" t="s">
        <v>1227</v>
      </c>
      <c r="E72" s="155" t="s">
        <v>1776</v>
      </c>
      <c r="F72" s="155" t="s">
        <v>1576</v>
      </c>
      <c r="G72" s="97"/>
    </row>
    <row r="73" spans="1:17" ht="31.5">
      <c r="A73" s="154">
        <v>72</v>
      </c>
      <c r="B73" s="155" t="s">
        <v>1228</v>
      </c>
      <c r="C73" s="155" t="s">
        <v>1777</v>
      </c>
      <c r="D73" s="155" t="s">
        <v>1778</v>
      </c>
      <c r="E73" s="155" t="s">
        <v>1002</v>
      </c>
      <c r="F73" s="155" t="s">
        <v>1576</v>
      </c>
      <c r="G73" s="97"/>
    </row>
    <row r="74" spans="1:17" ht="31.5">
      <c r="A74" s="154">
        <v>73</v>
      </c>
      <c r="B74" s="156" t="s">
        <v>1230</v>
      </c>
      <c r="C74" s="156" t="s">
        <v>1779</v>
      </c>
      <c r="D74" s="156" t="s">
        <v>1780</v>
      </c>
      <c r="E74" s="156" t="s">
        <v>1002</v>
      </c>
      <c r="F74" s="156" t="s">
        <v>1576</v>
      </c>
      <c r="G74" s="223" t="s">
        <v>1214</v>
      </c>
      <c r="H74" s="225"/>
      <c r="I74" s="225"/>
      <c r="J74" s="225"/>
      <c r="K74" s="225"/>
      <c r="L74" s="225"/>
      <c r="M74" s="225"/>
      <c r="N74" s="225"/>
      <c r="O74" s="225"/>
      <c r="P74" s="225"/>
      <c r="Q74" s="225"/>
    </row>
    <row r="75" spans="1:17" ht="173.25">
      <c r="A75" s="154">
        <v>74</v>
      </c>
      <c r="B75" s="155" t="s">
        <v>284</v>
      </c>
      <c r="C75" s="155" t="s">
        <v>1781</v>
      </c>
      <c r="D75" s="155" t="s">
        <v>1782</v>
      </c>
      <c r="E75" s="155" t="s">
        <v>1674</v>
      </c>
      <c r="F75" s="155" t="s">
        <v>1532</v>
      </c>
      <c r="G75" s="156" t="s">
        <v>1783</v>
      </c>
    </row>
    <row r="76" spans="1:17" ht="252">
      <c r="A76" s="154">
        <v>1</v>
      </c>
      <c r="B76" s="156" t="s">
        <v>1615</v>
      </c>
      <c r="C76" s="156" t="s">
        <v>1784</v>
      </c>
      <c r="D76" s="156" t="s">
        <v>1785</v>
      </c>
      <c r="E76" s="156" t="s">
        <v>1674</v>
      </c>
      <c r="F76" s="156" t="s">
        <v>1532</v>
      </c>
      <c r="G76" s="156" t="s">
        <v>1786</v>
      </c>
    </row>
    <row r="77" spans="1:17" ht="315">
      <c r="A77" s="154">
        <f t="shared" ref="A77:A82" si="0">1+A76</f>
        <v>2</v>
      </c>
      <c r="B77" s="156" t="s">
        <v>1787</v>
      </c>
      <c r="C77" s="156" t="s">
        <v>1787</v>
      </c>
      <c r="D77" s="156" t="s">
        <v>1788</v>
      </c>
      <c r="E77" s="156" t="s">
        <v>1674</v>
      </c>
      <c r="F77" s="156" t="s">
        <v>1532</v>
      </c>
      <c r="G77" s="156" t="s">
        <v>1789</v>
      </c>
    </row>
    <row r="78" spans="1:17" ht="252">
      <c r="A78" s="154">
        <f t="shared" si="0"/>
        <v>3</v>
      </c>
      <c r="B78" s="156" t="s">
        <v>1790</v>
      </c>
      <c r="C78" s="156" t="s">
        <v>1790</v>
      </c>
      <c r="D78" s="156" t="s">
        <v>1791</v>
      </c>
      <c r="E78" s="156" t="s">
        <v>1674</v>
      </c>
      <c r="F78" s="156" t="s">
        <v>1532</v>
      </c>
      <c r="G78" s="156" t="s">
        <v>1786</v>
      </c>
    </row>
    <row r="79" spans="1:17" ht="252">
      <c r="A79" s="154">
        <f t="shared" si="0"/>
        <v>4</v>
      </c>
      <c r="B79" s="156" t="s">
        <v>1792</v>
      </c>
      <c r="C79" s="156" t="s">
        <v>1792</v>
      </c>
      <c r="D79" s="156" t="s">
        <v>1793</v>
      </c>
      <c r="E79" s="156" t="s">
        <v>1674</v>
      </c>
      <c r="F79" s="156" t="s">
        <v>1532</v>
      </c>
      <c r="G79" s="156" t="s">
        <v>1786</v>
      </c>
    </row>
    <row r="80" spans="1:17" ht="252">
      <c r="A80" s="154">
        <f t="shared" si="0"/>
        <v>5</v>
      </c>
      <c r="B80" s="156" t="s">
        <v>1794</v>
      </c>
      <c r="C80" s="156" t="s">
        <v>1794</v>
      </c>
      <c r="D80" s="156" t="s">
        <v>1795</v>
      </c>
      <c r="E80" s="156" t="s">
        <v>1674</v>
      </c>
      <c r="F80" s="156" t="s">
        <v>1532</v>
      </c>
      <c r="G80" s="156" t="s">
        <v>1786</v>
      </c>
    </row>
    <row r="81" spans="1:7" ht="252">
      <c r="A81" s="154">
        <f t="shared" si="0"/>
        <v>6</v>
      </c>
      <c r="B81" s="156" t="s">
        <v>1796</v>
      </c>
      <c r="C81" s="156" t="s">
        <v>1796</v>
      </c>
      <c r="D81" s="156" t="s">
        <v>1797</v>
      </c>
      <c r="E81" s="156" t="s">
        <v>1674</v>
      </c>
      <c r="F81" s="156" t="s">
        <v>1532</v>
      </c>
      <c r="G81" s="156" t="s">
        <v>1786</v>
      </c>
    </row>
    <row r="82" spans="1:7" ht="330.75">
      <c r="A82" s="154">
        <f t="shared" si="0"/>
        <v>7</v>
      </c>
      <c r="B82" s="156" t="s">
        <v>1798</v>
      </c>
      <c r="C82" s="156" t="s">
        <v>1798</v>
      </c>
      <c r="D82" s="156" t="s">
        <v>1799</v>
      </c>
      <c r="E82" s="156" t="s">
        <v>1674</v>
      </c>
      <c r="F82" s="156" t="s">
        <v>1532</v>
      </c>
      <c r="G82" s="156" t="s">
        <v>1800</v>
      </c>
    </row>
    <row r="83" spans="1:7" ht="330.75">
      <c r="A83" s="154">
        <f>1+A82</f>
        <v>8</v>
      </c>
      <c r="B83" s="156" t="s">
        <v>1801</v>
      </c>
      <c r="C83" s="156" t="s">
        <v>1802</v>
      </c>
      <c r="D83" s="156" t="s">
        <v>1803</v>
      </c>
      <c r="E83" s="156" t="s">
        <v>1674</v>
      </c>
      <c r="F83" s="156" t="s">
        <v>1532</v>
      </c>
      <c r="G83" s="156" t="s">
        <v>1804</v>
      </c>
    </row>
    <row r="84" spans="1:7" ht="252">
      <c r="A84" s="154">
        <f>1+A83</f>
        <v>9</v>
      </c>
      <c r="B84" s="156" t="s">
        <v>1805</v>
      </c>
      <c r="C84" s="156" t="s">
        <v>1806</v>
      </c>
      <c r="D84" s="156" t="s">
        <v>1807</v>
      </c>
      <c r="E84" s="156" t="s">
        <v>1674</v>
      </c>
      <c r="F84" s="156" t="s">
        <v>1532</v>
      </c>
      <c r="G84" s="156" t="s">
        <v>1786</v>
      </c>
    </row>
    <row r="85" spans="1:7" ht="252">
      <c r="A85" s="154">
        <f>1+A84</f>
        <v>10</v>
      </c>
      <c r="B85" s="156" t="s">
        <v>1808</v>
      </c>
      <c r="C85" s="156" t="s">
        <v>1808</v>
      </c>
      <c r="D85" s="156" t="s">
        <v>1809</v>
      </c>
      <c r="E85" s="156" t="s">
        <v>1674</v>
      </c>
      <c r="F85" s="156" t="s">
        <v>1532</v>
      </c>
      <c r="G85" s="156" t="s">
        <v>1786</v>
      </c>
    </row>
    <row r="86" spans="1:7" ht="252">
      <c r="A86" s="154">
        <f>1+A85</f>
        <v>11</v>
      </c>
      <c r="B86" s="156" t="s">
        <v>1810</v>
      </c>
      <c r="C86" s="156" t="s">
        <v>1810</v>
      </c>
      <c r="D86" s="156" t="s">
        <v>1811</v>
      </c>
      <c r="E86" s="156" t="s">
        <v>1674</v>
      </c>
      <c r="F86" s="156" t="s">
        <v>1532</v>
      </c>
      <c r="G86" s="156" t="s">
        <v>1786</v>
      </c>
    </row>
  </sheetData>
  <mergeCells count="1">
    <mergeCell ref="J7:P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83D7-511A-49F6-B311-F2E95DA665C8}">
  <dimension ref="A1:H158"/>
  <sheetViews>
    <sheetView topLeftCell="A11" workbookViewId="0">
      <selection activeCell="H13" sqref="H13"/>
    </sheetView>
  </sheetViews>
  <sheetFormatPr defaultRowHeight="15"/>
  <cols>
    <col min="1" max="1" width="10.85546875" customWidth="1"/>
    <col min="2" max="2" width="13" customWidth="1"/>
    <col min="3" max="3" width="86.42578125" customWidth="1"/>
    <col min="4" max="4" width="11" customWidth="1"/>
    <col min="5" max="5" width="12.85546875" customWidth="1"/>
    <col min="6" max="6" width="18.7109375" customWidth="1"/>
    <col min="7" max="7" width="20" customWidth="1"/>
    <col min="8" max="8" width="20.7109375" customWidth="1"/>
  </cols>
  <sheetData>
    <row r="1" spans="1:8">
      <c r="A1" s="157" t="s">
        <v>164</v>
      </c>
      <c r="B1" s="157" t="s">
        <v>923</v>
      </c>
      <c r="C1" s="158" t="s">
        <v>1812</v>
      </c>
      <c r="D1" s="159" t="s">
        <v>171</v>
      </c>
      <c r="E1" s="159" t="s">
        <v>1813</v>
      </c>
      <c r="F1" s="159" t="s">
        <v>1814</v>
      </c>
      <c r="G1" s="160" t="s">
        <v>1815</v>
      </c>
      <c r="H1" s="160" t="s">
        <v>1816</v>
      </c>
    </row>
    <row r="2" spans="1:8">
      <c r="A2" s="157" t="s">
        <v>938</v>
      </c>
      <c r="B2" s="161" t="s">
        <v>940</v>
      </c>
      <c r="C2" s="162" t="s">
        <v>1817</v>
      </c>
      <c r="D2" s="100">
        <v>200</v>
      </c>
      <c r="E2" s="151"/>
      <c r="F2" s="100"/>
    </row>
    <row r="3" spans="1:8" ht="30">
      <c r="A3" s="410" t="s">
        <v>941</v>
      </c>
      <c r="B3" s="161" t="s">
        <v>1246</v>
      </c>
      <c r="C3" s="162" t="s">
        <v>1818</v>
      </c>
      <c r="D3" s="100">
        <v>200</v>
      </c>
      <c r="E3" s="151"/>
      <c r="F3" s="100"/>
    </row>
    <row r="4" spans="1:8" ht="30">
      <c r="A4" s="411"/>
      <c r="B4" s="161" t="s">
        <v>1304</v>
      </c>
      <c r="C4" s="162" t="s">
        <v>1819</v>
      </c>
      <c r="D4" s="100">
        <v>200</v>
      </c>
      <c r="E4" s="151"/>
      <c r="F4" s="100"/>
    </row>
    <row r="5" spans="1:8" ht="30">
      <c r="A5" s="410" t="s">
        <v>944</v>
      </c>
      <c r="B5" s="161" t="s">
        <v>1243</v>
      </c>
      <c r="C5" s="162" t="s">
        <v>1820</v>
      </c>
      <c r="D5" s="100">
        <v>200</v>
      </c>
      <c r="E5" s="151"/>
      <c r="F5" s="100"/>
    </row>
    <row r="6" spans="1:8" ht="30">
      <c r="A6" s="411"/>
      <c r="B6" s="161" t="s">
        <v>1363</v>
      </c>
      <c r="C6" s="162" t="s">
        <v>1821</v>
      </c>
      <c r="D6" s="100">
        <v>200</v>
      </c>
      <c r="E6" s="151"/>
      <c r="F6" s="100"/>
    </row>
    <row r="7" spans="1:8" ht="30">
      <c r="A7" s="410" t="s">
        <v>948</v>
      </c>
      <c r="B7" s="161" t="s">
        <v>1218</v>
      </c>
      <c r="C7" s="163" t="s">
        <v>1822</v>
      </c>
      <c r="D7" s="100">
        <v>200</v>
      </c>
      <c r="E7" s="151"/>
      <c r="F7" s="100"/>
    </row>
    <row r="8" spans="1:8" ht="30">
      <c r="A8" s="411"/>
      <c r="B8" s="161" t="s">
        <v>1360</v>
      </c>
      <c r="C8" s="163" t="s">
        <v>1823</v>
      </c>
      <c r="D8" s="100">
        <v>200</v>
      </c>
      <c r="E8" s="151"/>
      <c r="F8" s="100"/>
    </row>
    <row r="9" spans="1:8" ht="30">
      <c r="A9" s="410" t="s">
        <v>952</v>
      </c>
      <c r="B9" s="161" t="s">
        <v>1210</v>
      </c>
      <c r="C9" s="162" t="s">
        <v>1824</v>
      </c>
      <c r="D9" s="100">
        <v>200</v>
      </c>
      <c r="E9" s="151"/>
      <c r="F9" s="100"/>
    </row>
    <row r="10" spans="1:8" ht="30">
      <c r="A10" s="411"/>
      <c r="B10" s="161" t="s">
        <v>1207</v>
      </c>
      <c r="C10" s="162" t="s">
        <v>1825</v>
      </c>
      <c r="D10" s="100">
        <v>200</v>
      </c>
      <c r="E10" s="151"/>
      <c r="F10" s="100"/>
    </row>
    <row r="11" spans="1:8">
      <c r="A11" s="411"/>
      <c r="B11" s="161" t="s">
        <v>1221</v>
      </c>
      <c r="C11" s="162" t="s">
        <v>1826</v>
      </c>
      <c r="D11" s="100">
        <v>200</v>
      </c>
      <c r="E11" s="151"/>
      <c r="F11" s="100"/>
    </row>
    <row r="12" spans="1:8" ht="30">
      <c r="A12" s="411"/>
      <c r="B12" s="161" t="s">
        <v>1226</v>
      </c>
      <c r="C12" s="162" t="s">
        <v>1827</v>
      </c>
      <c r="D12" s="100">
        <v>200</v>
      </c>
      <c r="E12" s="151"/>
      <c r="F12" s="100"/>
    </row>
    <row r="13" spans="1:8" ht="30">
      <c r="A13" s="411"/>
      <c r="B13" s="161" t="s">
        <v>1216</v>
      </c>
      <c r="C13" s="162" t="s">
        <v>1828</v>
      </c>
      <c r="D13" s="100">
        <v>200</v>
      </c>
      <c r="E13" s="151"/>
      <c r="F13" s="100"/>
    </row>
    <row r="14" spans="1:8">
      <c r="A14" s="410" t="s">
        <v>956</v>
      </c>
      <c r="B14" s="161" t="s">
        <v>1232</v>
      </c>
      <c r="C14" s="162" t="s">
        <v>1829</v>
      </c>
      <c r="D14" s="100">
        <v>200</v>
      </c>
      <c r="E14" s="151"/>
      <c r="F14" s="100"/>
    </row>
    <row r="15" spans="1:8">
      <c r="A15" s="411"/>
      <c r="B15" s="161" t="s">
        <v>1234</v>
      </c>
      <c r="C15" s="162" t="s">
        <v>1830</v>
      </c>
      <c r="D15" s="100">
        <v>200</v>
      </c>
      <c r="E15" s="151"/>
      <c r="F15" s="100"/>
    </row>
    <row r="16" spans="1:8" ht="30">
      <c r="A16" s="411"/>
      <c r="B16" s="161" t="s">
        <v>1236</v>
      </c>
      <c r="C16" s="162" t="s">
        <v>1831</v>
      </c>
      <c r="D16" s="100">
        <v>200</v>
      </c>
      <c r="E16" s="151"/>
      <c r="F16" s="100"/>
    </row>
    <row r="17" spans="1:7" ht="375">
      <c r="A17" s="411"/>
      <c r="B17" s="161" t="s">
        <v>1238</v>
      </c>
      <c r="C17" s="162" t="s">
        <v>1832</v>
      </c>
      <c r="D17" s="100">
        <v>500</v>
      </c>
      <c r="E17" s="151" t="s">
        <v>1833</v>
      </c>
      <c r="F17" s="100" t="s">
        <v>1834</v>
      </c>
      <c r="G17" t="s">
        <v>494</v>
      </c>
    </row>
    <row r="18" spans="1:7" ht="409.5">
      <c r="A18" s="411"/>
      <c r="B18" s="161" t="s">
        <v>1240</v>
      </c>
      <c r="C18" s="162" t="s">
        <v>1835</v>
      </c>
      <c r="D18" s="100">
        <v>500</v>
      </c>
      <c r="E18" s="151" t="s">
        <v>1836</v>
      </c>
      <c r="F18" s="100"/>
      <c r="G18" t="s">
        <v>494</v>
      </c>
    </row>
    <row r="19" spans="1:7">
      <c r="A19" s="411"/>
      <c r="B19" s="161" t="s">
        <v>1250</v>
      </c>
      <c r="C19" s="162" t="s">
        <v>1837</v>
      </c>
      <c r="D19" s="100">
        <v>200</v>
      </c>
      <c r="E19" s="151"/>
      <c r="F19" s="100"/>
    </row>
    <row r="20" spans="1:7" ht="360">
      <c r="A20" s="411"/>
      <c r="B20" s="161" t="s">
        <v>1252</v>
      </c>
      <c r="C20" s="162" t="s">
        <v>1838</v>
      </c>
      <c r="D20" s="100">
        <v>500</v>
      </c>
      <c r="E20" s="151" t="s">
        <v>1839</v>
      </c>
      <c r="F20" s="100" t="s">
        <v>1834</v>
      </c>
      <c r="G20" t="s">
        <v>494</v>
      </c>
    </row>
    <row r="21" spans="1:7" ht="375">
      <c r="A21" s="411"/>
      <c r="B21" s="161" t="s">
        <v>1257</v>
      </c>
      <c r="C21" s="162" t="s">
        <v>1840</v>
      </c>
      <c r="D21" s="100">
        <v>404</v>
      </c>
      <c r="E21" s="151" t="s">
        <v>1841</v>
      </c>
      <c r="F21" s="100" t="s">
        <v>1834</v>
      </c>
      <c r="G21" t="s">
        <v>494</v>
      </c>
    </row>
    <row r="22" spans="1:7" ht="30">
      <c r="A22" s="411"/>
      <c r="B22" s="161" t="s">
        <v>1259</v>
      </c>
      <c r="C22" s="162" t="s">
        <v>1842</v>
      </c>
      <c r="D22" s="100">
        <v>200</v>
      </c>
      <c r="E22" s="151"/>
      <c r="F22" s="100"/>
    </row>
    <row r="23" spans="1:7" ht="30">
      <c r="A23" s="411"/>
      <c r="B23" s="161" t="s">
        <v>1263</v>
      </c>
      <c r="C23" s="162" t="s">
        <v>1843</v>
      </c>
      <c r="D23" s="100">
        <v>200</v>
      </c>
      <c r="E23" s="151"/>
      <c r="F23" s="100"/>
    </row>
    <row r="24" spans="1:7" ht="30">
      <c r="A24" s="411"/>
      <c r="B24" s="161" t="s">
        <v>1276</v>
      </c>
      <c r="C24" s="162" t="s">
        <v>1844</v>
      </c>
      <c r="D24" s="100">
        <v>200</v>
      </c>
      <c r="E24" s="151"/>
      <c r="F24" s="100"/>
    </row>
    <row r="25" spans="1:7" ht="345">
      <c r="A25" s="411"/>
      <c r="B25" s="161" t="s">
        <v>1845</v>
      </c>
      <c r="C25" s="162" t="s">
        <v>1846</v>
      </c>
      <c r="D25" s="100">
        <v>500</v>
      </c>
      <c r="E25" s="151" t="s">
        <v>1847</v>
      </c>
      <c r="F25" s="100" t="s">
        <v>1834</v>
      </c>
      <c r="G25" t="s">
        <v>494</v>
      </c>
    </row>
    <row r="26" spans="1:7" ht="30">
      <c r="A26" s="411"/>
      <c r="B26" s="161" t="s">
        <v>1278</v>
      </c>
      <c r="C26" s="162" t="s">
        <v>1848</v>
      </c>
      <c r="D26" s="100">
        <v>200</v>
      </c>
      <c r="E26" s="151"/>
      <c r="F26" s="100"/>
    </row>
    <row r="27" spans="1:7">
      <c r="A27" s="411"/>
      <c r="B27" s="161" t="s">
        <v>1280</v>
      </c>
      <c r="C27" s="162" t="s">
        <v>1849</v>
      </c>
      <c r="D27" s="100">
        <v>200</v>
      </c>
      <c r="E27" s="151"/>
      <c r="F27" s="100"/>
    </row>
    <row r="28" spans="1:7" ht="360">
      <c r="A28" s="411"/>
      <c r="B28" s="161" t="s">
        <v>1296</v>
      </c>
      <c r="C28" s="162" t="s">
        <v>1850</v>
      </c>
      <c r="D28" s="100">
        <v>500</v>
      </c>
      <c r="E28" s="151" t="s">
        <v>1851</v>
      </c>
      <c r="F28" s="100" t="s">
        <v>1834</v>
      </c>
      <c r="G28" t="s">
        <v>494</v>
      </c>
    </row>
    <row r="29" spans="1:7" ht="30">
      <c r="A29" s="411"/>
      <c r="B29" s="161" t="s">
        <v>1331</v>
      </c>
      <c r="C29" s="162" t="s">
        <v>1852</v>
      </c>
      <c r="D29" s="100">
        <v>200</v>
      </c>
      <c r="E29" s="151"/>
      <c r="F29" s="100"/>
    </row>
    <row r="30" spans="1:7" ht="30">
      <c r="A30" s="411"/>
      <c r="B30" s="161" t="s">
        <v>1333</v>
      </c>
      <c r="C30" s="162" t="s">
        <v>1853</v>
      </c>
      <c r="D30" s="100">
        <v>200</v>
      </c>
      <c r="E30" s="151"/>
      <c r="F30" s="100"/>
    </row>
    <row r="31" spans="1:7" ht="30">
      <c r="A31" s="411"/>
      <c r="B31" s="161" t="s">
        <v>1335</v>
      </c>
      <c r="C31" s="162" t="s">
        <v>1854</v>
      </c>
      <c r="D31" s="100">
        <v>200</v>
      </c>
      <c r="E31" s="151"/>
      <c r="F31" s="100"/>
    </row>
    <row r="32" spans="1:7">
      <c r="A32" s="411"/>
      <c r="B32" s="161" t="s">
        <v>1339</v>
      </c>
      <c r="C32" s="162" t="s">
        <v>1855</v>
      </c>
      <c r="D32" s="100">
        <v>200</v>
      </c>
      <c r="E32" s="151"/>
      <c r="F32" s="100"/>
    </row>
    <row r="33" spans="1:8">
      <c r="A33" s="411"/>
      <c r="B33" s="161" t="s">
        <v>1349</v>
      </c>
      <c r="C33" s="162" t="s">
        <v>1856</v>
      </c>
      <c r="D33" s="100">
        <v>200</v>
      </c>
      <c r="E33" s="151"/>
      <c r="F33" s="100"/>
    </row>
    <row r="34" spans="1:8">
      <c r="A34" s="411"/>
      <c r="B34" s="161" t="s">
        <v>1351</v>
      </c>
      <c r="C34" s="162" t="s">
        <v>1857</v>
      </c>
      <c r="D34" s="100">
        <v>200</v>
      </c>
      <c r="E34" s="151"/>
      <c r="F34" s="100"/>
    </row>
    <row r="35" spans="1:8">
      <c r="A35" s="410" t="s">
        <v>959</v>
      </c>
      <c r="B35" s="161" t="s">
        <v>1232</v>
      </c>
      <c r="C35" s="162" t="s">
        <v>1858</v>
      </c>
      <c r="D35" s="100">
        <v>200</v>
      </c>
      <c r="E35" s="151"/>
      <c r="F35" s="100"/>
    </row>
    <row r="36" spans="1:8">
      <c r="A36" s="411"/>
      <c r="B36" s="161" t="s">
        <v>1234</v>
      </c>
      <c r="C36" s="162" t="s">
        <v>1859</v>
      </c>
      <c r="D36" s="100">
        <v>200</v>
      </c>
      <c r="E36" s="151"/>
      <c r="F36" s="100"/>
    </row>
    <row r="37" spans="1:8" ht="30">
      <c r="A37" s="411"/>
      <c r="B37" s="161" t="s">
        <v>1236</v>
      </c>
      <c r="C37" s="162" t="s">
        <v>1860</v>
      </c>
      <c r="D37" s="100">
        <v>200</v>
      </c>
      <c r="E37" s="151"/>
      <c r="F37" s="100"/>
    </row>
    <row r="38" spans="1:8" ht="375">
      <c r="A38" s="411"/>
      <c r="B38" s="161" t="s">
        <v>1238</v>
      </c>
      <c r="C38" s="164" t="s">
        <v>1861</v>
      </c>
      <c r="D38" s="100">
        <v>200</v>
      </c>
      <c r="E38" s="151" t="s">
        <v>1862</v>
      </c>
      <c r="F38" s="100" t="s">
        <v>1834</v>
      </c>
      <c r="G38" t="s">
        <v>494</v>
      </c>
      <c r="H38" t="s">
        <v>494</v>
      </c>
    </row>
    <row r="39" spans="1:8" ht="409.5">
      <c r="A39" s="411"/>
      <c r="B39" s="161" t="s">
        <v>1240</v>
      </c>
      <c r="C39" s="162" t="s">
        <v>1863</v>
      </c>
      <c r="D39" s="100">
        <v>500</v>
      </c>
      <c r="E39" s="151" t="s">
        <v>1864</v>
      </c>
      <c r="F39" s="100"/>
      <c r="G39" t="s">
        <v>494</v>
      </c>
    </row>
    <row r="40" spans="1:8">
      <c r="A40" s="411"/>
      <c r="B40" s="161" t="s">
        <v>1250</v>
      </c>
      <c r="C40" s="162" t="s">
        <v>1865</v>
      </c>
      <c r="D40" s="100">
        <v>200</v>
      </c>
      <c r="E40" s="151"/>
      <c r="F40" s="100"/>
    </row>
    <row r="41" spans="1:8" ht="360">
      <c r="A41" s="411"/>
      <c r="B41" s="161" t="s">
        <v>1252</v>
      </c>
      <c r="C41" s="162" t="s">
        <v>1866</v>
      </c>
      <c r="D41" s="100">
        <v>500</v>
      </c>
      <c r="E41" s="151" t="s">
        <v>1867</v>
      </c>
      <c r="F41" s="100" t="s">
        <v>1834</v>
      </c>
      <c r="G41" t="s">
        <v>494</v>
      </c>
    </row>
    <row r="42" spans="1:8" ht="375">
      <c r="A42" s="411"/>
      <c r="B42" s="161" t="s">
        <v>1257</v>
      </c>
      <c r="C42" s="162" t="s">
        <v>1868</v>
      </c>
      <c r="D42" s="100">
        <v>200</v>
      </c>
      <c r="E42" s="151" t="s">
        <v>1869</v>
      </c>
      <c r="F42" s="100" t="s">
        <v>1834</v>
      </c>
      <c r="G42" t="s">
        <v>494</v>
      </c>
      <c r="H42" t="s">
        <v>494</v>
      </c>
    </row>
    <row r="43" spans="1:8" ht="30">
      <c r="A43" s="411"/>
      <c r="B43" s="161" t="s">
        <v>1276</v>
      </c>
      <c r="C43" s="162" t="s">
        <v>1870</v>
      </c>
      <c r="D43" s="100">
        <v>200</v>
      </c>
      <c r="E43" s="151"/>
      <c r="F43" s="100"/>
    </row>
    <row r="44" spans="1:8" ht="345">
      <c r="A44" s="411"/>
      <c r="B44" s="161" t="s">
        <v>1845</v>
      </c>
      <c r="C44" s="162" t="s">
        <v>1871</v>
      </c>
      <c r="D44" s="100">
        <v>500</v>
      </c>
      <c r="E44" s="151" t="s">
        <v>1872</v>
      </c>
      <c r="F44" s="100" t="s">
        <v>1834</v>
      </c>
      <c r="G44" t="s">
        <v>494</v>
      </c>
    </row>
    <row r="45" spans="1:8" ht="30">
      <c r="A45" s="411"/>
      <c r="B45" s="161" t="s">
        <v>1278</v>
      </c>
      <c r="C45" s="162" t="s">
        <v>1873</v>
      </c>
      <c r="D45" s="100">
        <v>200</v>
      </c>
      <c r="E45" s="151"/>
      <c r="F45" s="100"/>
    </row>
    <row r="46" spans="1:8">
      <c r="A46" s="411"/>
      <c r="B46" s="161" t="s">
        <v>1280</v>
      </c>
      <c r="C46" s="162" t="s">
        <v>1874</v>
      </c>
      <c r="D46" s="100">
        <v>200</v>
      </c>
      <c r="E46" s="151"/>
      <c r="F46" s="100"/>
    </row>
    <row r="47" spans="1:8" ht="360">
      <c r="A47" s="411"/>
      <c r="B47" s="161" t="s">
        <v>1296</v>
      </c>
      <c r="C47" s="162" t="s">
        <v>1875</v>
      </c>
      <c r="D47" s="100">
        <v>200</v>
      </c>
      <c r="E47" s="151" t="s">
        <v>1876</v>
      </c>
      <c r="F47" s="100" t="s">
        <v>1834</v>
      </c>
      <c r="G47" t="s">
        <v>494</v>
      </c>
      <c r="H47" t="s">
        <v>494</v>
      </c>
    </row>
    <row r="48" spans="1:8" ht="30">
      <c r="A48" s="411"/>
      <c r="B48" s="161" t="s">
        <v>1333</v>
      </c>
      <c r="C48" s="162" t="s">
        <v>1877</v>
      </c>
      <c r="D48" s="100">
        <v>200</v>
      </c>
      <c r="E48" s="151"/>
      <c r="F48" s="100"/>
    </row>
    <row r="49" spans="1:8" ht="30">
      <c r="A49" s="411"/>
      <c r="B49" s="161" t="s">
        <v>1335</v>
      </c>
      <c r="C49" s="162" t="s">
        <v>1878</v>
      </c>
      <c r="D49" s="100">
        <v>200</v>
      </c>
      <c r="E49" s="151"/>
      <c r="F49" s="100"/>
    </row>
    <row r="50" spans="1:8">
      <c r="A50" s="411"/>
      <c r="B50" s="161" t="s">
        <v>1339</v>
      </c>
      <c r="C50" s="162" t="s">
        <v>1879</v>
      </c>
      <c r="D50" s="100">
        <v>200</v>
      </c>
      <c r="E50" s="151"/>
      <c r="F50" s="100"/>
    </row>
    <row r="51" spans="1:8">
      <c r="A51" s="410" t="s">
        <v>962</v>
      </c>
      <c r="B51" s="161" t="s">
        <v>1234</v>
      </c>
      <c r="C51" s="162" t="s">
        <v>1880</v>
      </c>
      <c r="D51" s="100">
        <v>200</v>
      </c>
      <c r="E51" s="151"/>
      <c r="F51" s="100"/>
    </row>
    <row r="52" spans="1:8">
      <c r="A52" s="411"/>
      <c r="B52" s="161" t="s">
        <v>1232</v>
      </c>
      <c r="C52" s="162" t="s">
        <v>1881</v>
      </c>
      <c r="D52" s="100">
        <v>200</v>
      </c>
      <c r="E52" s="151"/>
      <c r="F52" s="100"/>
    </row>
    <row r="53" spans="1:8" ht="30">
      <c r="A53" s="411"/>
      <c r="B53" s="161" t="s">
        <v>1236</v>
      </c>
      <c r="C53" s="162" t="s">
        <v>1882</v>
      </c>
      <c r="D53" s="100">
        <v>200</v>
      </c>
      <c r="E53" s="151"/>
      <c r="F53" s="100"/>
    </row>
    <row r="54" spans="1:8" ht="375">
      <c r="A54" s="411"/>
      <c r="B54" s="161" t="s">
        <v>1238</v>
      </c>
      <c r="C54" s="162" t="s">
        <v>1883</v>
      </c>
      <c r="D54" s="100">
        <v>500</v>
      </c>
      <c r="E54" s="151" t="s">
        <v>1884</v>
      </c>
      <c r="F54" s="100" t="s">
        <v>1834</v>
      </c>
      <c r="G54" t="s">
        <v>494</v>
      </c>
    </row>
    <row r="55" spans="1:8" ht="375">
      <c r="A55" s="411"/>
      <c r="B55" s="161" t="s">
        <v>1240</v>
      </c>
      <c r="C55" s="162" t="s">
        <v>1885</v>
      </c>
      <c r="D55" s="100">
        <v>500</v>
      </c>
      <c r="E55" s="151" t="s">
        <v>1884</v>
      </c>
      <c r="F55" s="100" t="s">
        <v>1834</v>
      </c>
      <c r="G55" t="s">
        <v>494</v>
      </c>
    </row>
    <row r="56" spans="1:8">
      <c r="A56" s="411"/>
      <c r="B56" s="161" t="s">
        <v>1250</v>
      </c>
      <c r="C56" s="162" t="s">
        <v>1886</v>
      </c>
      <c r="D56" s="100">
        <v>200</v>
      </c>
      <c r="E56" s="151"/>
      <c r="F56" s="100"/>
    </row>
    <row r="57" spans="1:8" ht="360">
      <c r="A57" s="411"/>
      <c r="B57" s="161" t="s">
        <v>1252</v>
      </c>
      <c r="C57" s="162" t="s">
        <v>1887</v>
      </c>
      <c r="D57" s="100">
        <v>500</v>
      </c>
      <c r="E57" s="151" t="s">
        <v>1888</v>
      </c>
      <c r="F57" s="100" t="s">
        <v>1834</v>
      </c>
      <c r="G57" t="s">
        <v>494</v>
      </c>
    </row>
    <row r="58" spans="1:8" ht="30">
      <c r="A58" s="411"/>
      <c r="B58" s="161" t="s">
        <v>1259</v>
      </c>
      <c r="C58" s="162" t="s">
        <v>1889</v>
      </c>
      <c r="D58" s="100">
        <v>200</v>
      </c>
      <c r="E58" s="151"/>
      <c r="F58" s="100"/>
    </row>
    <row r="59" spans="1:8" ht="30">
      <c r="A59" s="411"/>
      <c r="B59" s="161" t="s">
        <v>1261</v>
      </c>
      <c r="C59" s="162" t="s">
        <v>1890</v>
      </c>
      <c r="D59" s="100">
        <v>200</v>
      </c>
      <c r="E59" s="151"/>
      <c r="F59" s="100"/>
    </row>
    <row r="60" spans="1:8" ht="30">
      <c r="A60" s="411"/>
      <c r="B60" s="161" t="s">
        <v>1263</v>
      </c>
      <c r="C60" s="162" t="s">
        <v>1891</v>
      </c>
      <c r="D60" s="100">
        <v>200</v>
      </c>
      <c r="E60" s="151"/>
      <c r="F60" s="100"/>
    </row>
    <row r="61" spans="1:8" ht="30">
      <c r="A61" s="411"/>
      <c r="B61" s="161" t="s">
        <v>1276</v>
      </c>
      <c r="C61" s="162" t="s">
        <v>1892</v>
      </c>
      <c r="D61" s="100">
        <v>200</v>
      </c>
      <c r="E61" s="151"/>
      <c r="F61" s="100"/>
    </row>
    <row r="62" spans="1:8" ht="345">
      <c r="A62" s="411"/>
      <c r="B62" s="161" t="s">
        <v>1845</v>
      </c>
      <c r="C62" s="162" t="s">
        <v>1893</v>
      </c>
      <c r="D62" s="100">
        <v>500</v>
      </c>
      <c r="E62" s="151" t="s">
        <v>1894</v>
      </c>
      <c r="F62" s="100" t="s">
        <v>1834</v>
      </c>
      <c r="G62" t="s">
        <v>494</v>
      </c>
    </row>
    <row r="63" spans="1:8" ht="30">
      <c r="A63" s="411"/>
      <c r="B63" s="161" t="s">
        <v>1278</v>
      </c>
      <c r="C63" s="162" t="s">
        <v>1895</v>
      </c>
      <c r="D63" s="100">
        <v>200</v>
      </c>
      <c r="E63" s="151"/>
      <c r="F63" s="100"/>
    </row>
    <row r="64" spans="1:8" ht="390">
      <c r="A64" s="411"/>
      <c r="B64" s="161" t="s">
        <v>1285</v>
      </c>
      <c r="C64" s="162" t="s">
        <v>1896</v>
      </c>
      <c r="D64" s="100">
        <v>200</v>
      </c>
      <c r="E64" s="151" t="s">
        <v>1897</v>
      </c>
      <c r="F64" s="100" t="s">
        <v>1834</v>
      </c>
      <c r="G64" t="s">
        <v>494</v>
      </c>
      <c r="H64" t="s">
        <v>494</v>
      </c>
    </row>
    <row r="65" spans="1:8">
      <c r="A65" s="411"/>
      <c r="B65" s="161" t="s">
        <v>1280</v>
      </c>
      <c r="C65" s="162" t="s">
        <v>1898</v>
      </c>
      <c r="D65" s="100">
        <v>200</v>
      </c>
      <c r="E65" s="151"/>
      <c r="F65" s="100"/>
    </row>
    <row r="66" spans="1:8" ht="30">
      <c r="A66" s="411"/>
      <c r="B66" s="161" t="s">
        <v>1333</v>
      </c>
      <c r="C66" s="162" t="s">
        <v>1899</v>
      </c>
      <c r="D66" s="100">
        <v>200</v>
      </c>
      <c r="E66" s="151"/>
      <c r="F66" s="100"/>
    </row>
    <row r="67" spans="1:8" ht="30">
      <c r="A67" s="411"/>
      <c r="B67" s="161" t="s">
        <v>1335</v>
      </c>
      <c r="C67" s="162" t="s">
        <v>1900</v>
      </c>
      <c r="D67" s="100">
        <v>200</v>
      </c>
      <c r="E67" s="151"/>
      <c r="F67" s="100"/>
    </row>
    <row r="68" spans="1:8">
      <c r="A68" s="411"/>
      <c r="B68" s="161" t="s">
        <v>1366</v>
      </c>
      <c r="C68" s="162" t="s">
        <v>1901</v>
      </c>
      <c r="D68" s="100">
        <v>200</v>
      </c>
      <c r="E68" s="151"/>
      <c r="F68" s="100"/>
    </row>
    <row r="69" spans="1:8" ht="30">
      <c r="A69" s="410" t="s">
        <v>965</v>
      </c>
      <c r="B69" s="161" t="s">
        <v>1341</v>
      </c>
      <c r="C69" s="162" t="s">
        <v>1902</v>
      </c>
      <c r="D69" s="100">
        <v>200</v>
      </c>
      <c r="E69" s="151"/>
      <c r="F69" s="100"/>
    </row>
    <row r="70" spans="1:8" ht="360">
      <c r="A70" s="411"/>
      <c r="B70" s="161" t="s">
        <v>1267</v>
      </c>
      <c r="C70" s="162" t="s">
        <v>1903</v>
      </c>
      <c r="D70" s="100">
        <v>404</v>
      </c>
      <c r="E70" s="151" t="s">
        <v>1904</v>
      </c>
      <c r="F70" s="100" t="s">
        <v>1834</v>
      </c>
      <c r="G70" t="s">
        <v>494</v>
      </c>
      <c r="H70" t="s">
        <v>494</v>
      </c>
    </row>
    <row r="71" spans="1:8" ht="30">
      <c r="A71" s="411"/>
      <c r="B71" s="161" t="s">
        <v>1372</v>
      </c>
      <c r="C71" s="162" t="s">
        <v>1905</v>
      </c>
      <c r="D71" s="100">
        <v>200</v>
      </c>
      <c r="E71" s="151"/>
      <c r="F71" s="100"/>
    </row>
    <row r="72" spans="1:8" ht="30">
      <c r="A72" s="411"/>
      <c r="B72" s="161" t="s">
        <v>1337</v>
      </c>
      <c r="C72" s="162" t="s">
        <v>1906</v>
      </c>
      <c r="D72" s="100">
        <v>200</v>
      </c>
      <c r="E72" s="151"/>
      <c r="F72" s="100"/>
    </row>
    <row r="73" spans="1:8" ht="375">
      <c r="A73" s="411"/>
      <c r="B73" s="161" t="s">
        <v>1254</v>
      </c>
      <c r="C73" s="162" t="s">
        <v>1907</v>
      </c>
      <c r="D73" s="100">
        <v>500</v>
      </c>
      <c r="E73" s="151" t="s">
        <v>1908</v>
      </c>
      <c r="F73" s="100" t="s">
        <v>1909</v>
      </c>
      <c r="G73" t="s">
        <v>494</v>
      </c>
    </row>
    <row r="74" spans="1:8" ht="300">
      <c r="A74" s="411"/>
      <c r="B74" s="161" t="s">
        <v>1257</v>
      </c>
      <c r="C74" s="162" t="s">
        <v>1910</v>
      </c>
      <c r="D74" s="100">
        <v>200</v>
      </c>
      <c r="E74" s="151" t="s">
        <v>1911</v>
      </c>
      <c r="F74" s="100"/>
      <c r="G74" t="s">
        <v>494</v>
      </c>
      <c r="H74" t="s">
        <v>494</v>
      </c>
    </row>
    <row r="75" spans="1:8" ht="360">
      <c r="A75" s="411"/>
      <c r="B75" s="161" t="s">
        <v>1296</v>
      </c>
      <c r="C75" s="162" t="s">
        <v>1912</v>
      </c>
      <c r="D75" s="100">
        <v>500</v>
      </c>
      <c r="E75" s="151" t="s">
        <v>1913</v>
      </c>
      <c r="F75" s="100" t="s">
        <v>1834</v>
      </c>
      <c r="G75" t="s">
        <v>494</v>
      </c>
    </row>
    <row r="76" spans="1:8" ht="360">
      <c r="A76" s="411"/>
      <c r="B76" s="161" t="s">
        <v>1374</v>
      </c>
      <c r="C76" s="162" t="s">
        <v>1914</v>
      </c>
      <c r="D76" s="100">
        <v>500</v>
      </c>
      <c r="E76" s="151" t="s">
        <v>1915</v>
      </c>
      <c r="F76" s="100" t="s">
        <v>1916</v>
      </c>
      <c r="G76" t="s">
        <v>494</v>
      </c>
    </row>
    <row r="77" spans="1:8" ht="30">
      <c r="A77" s="411"/>
      <c r="B77" s="161" t="s">
        <v>1376</v>
      </c>
      <c r="C77" s="162" t="s">
        <v>1917</v>
      </c>
      <c r="D77" s="100">
        <v>200</v>
      </c>
      <c r="E77" s="151"/>
      <c r="F77" s="100"/>
    </row>
    <row r="78" spans="1:8" ht="45">
      <c r="A78" s="411"/>
      <c r="B78" s="161" t="s">
        <v>1378</v>
      </c>
      <c r="C78" s="162" t="s">
        <v>1918</v>
      </c>
      <c r="D78" s="100">
        <v>200</v>
      </c>
      <c r="E78" s="151"/>
      <c r="F78" s="100"/>
    </row>
    <row r="79" spans="1:8" ht="315">
      <c r="A79" s="411"/>
      <c r="B79" s="161" t="s">
        <v>1345</v>
      </c>
      <c r="C79" s="162" t="s">
        <v>1919</v>
      </c>
      <c r="D79" s="100">
        <v>500</v>
      </c>
      <c r="E79" s="151" t="s">
        <v>1920</v>
      </c>
      <c r="F79" s="100"/>
      <c r="G79" t="s">
        <v>494</v>
      </c>
    </row>
    <row r="80" spans="1:8">
      <c r="A80" s="410" t="s">
        <v>969</v>
      </c>
      <c r="B80" s="161" t="s">
        <v>1232</v>
      </c>
      <c r="C80" s="162" t="s">
        <v>1921</v>
      </c>
      <c r="D80" s="100">
        <v>200</v>
      </c>
      <c r="E80" s="151"/>
      <c r="F80" s="100"/>
    </row>
    <row r="81" spans="1:8" ht="30">
      <c r="A81" s="411"/>
      <c r="B81" s="161" t="s">
        <v>1259</v>
      </c>
      <c r="C81" s="162" t="s">
        <v>1922</v>
      </c>
      <c r="D81" s="100">
        <v>200</v>
      </c>
      <c r="E81" s="151"/>
      <c r="F81" s="100"/>
    </row>
    <row r="82" spans="1:8">
      <c r="A82" s="411"/>
      <c r="B82" s="161" t="s">
        <v>1263</v>
      </c>
      <c r="C82" s="162" t="s">
        <v>1923</v>
      </c>
      <c r="D82" s="100">
        <v>200</v>
      </c>
      <c r="E82" s="151"/>
      <c r="F82" s="100"/>
    </row>
    <row r="83" spans="1:8" ht="30">
      <c r="A83" s="411"/>
      <c r="B83" s="161" t="s">
        <v>1278</v>
      </c>
      <c r="C83" s="162" t="s">
        <v>1924</v>
      </c>
      <c r="D83" s="100">
        <v>200</v>
      </c>
      <c r="E83" s="151"/>
      <c r="F83" s="100"/>
    </row>
    <row r="84" spans="1:8">
      <c r="A84" s="411"/>
      <c r="B84" s="161" t="s">
        <v>1280</v>
      </c>
      <c r="C84" s="162" t="s">
        <v>1925</v>
      </c>
      <c r="D84" s="100">
        <v>200</v>
      </c>
      <c r="E84" s="151"/>
      <c r="F84" s="100"/>
    </row>
    <row r="85" spans="1:8">
      <c r="A85" s="411"/>
      <c r="B85" s="161" t="s">
        <v>1234</v>
      </c>
      <c r="C85" s="162" t="s">
        <v>1926</v>
      </c>
      <c r="D85" s="100">
        <v>200</v>
      </c>
      <c r="E85" s="151"/>
      <c r="F85" s="100"/>
    </row>
    <row r="86" spans="1:8">
      <c r="A86" s="411"/>
      <c r="B86" s="161" t="s">
        <v>1276</v>
      </c>
      <c r="C86" s="162" t="s">
        <v>1927</v>
      </c>
      <c r="D86" s="100">
        <v>200</v>
      </c>
      <c r="E86" s="151"/>
      <c r="F86" s="100"/>
    </row>
    <row r="87" spans="1:8">
      <c r="A87" s="411"/>
      <c r="B87" s="161" t="s">
        <v>1250</v>
      </c>
      <c r="C87" s="162" t="s">
        <v>1928</v>
      </c>
      <c r="D87" s="100">
        <v>200</v>
      </c>
      <c r="E87" s="151"/>
      <c r="F87" s="100"/>
    </row>
    <row r="88" spans="1:8">
      <c r="A88" s="411"/>
      <c r="B88" s="161" t="s">
        <v>1329</v>
      </c>
      <c r="C88" s="162" t="s">
        <v>1929</v>
      </c>
      <c r="D88" s="100">
        <v>200</v>
      </c>
      <c r="E88" s="151"/>
      <c r="F88" s="100"/>
    </row>
    <row r="89" spans="1:8">
      <c r="A89" s="411"/>
      <c r="B89" s="161" t="s">
        <v>1238</v>
      </c>
      <c r="C89" s="162" t="s">
        <v>1930</v>
      </c>
      <c r="D89" s="100">
        <v>200</v>
      </c>
      <c r="E89" s="151"/>
      <c r="F89" s="100"/>
    </row>
    <row r="90" spans="1:8" ht="405">
      <c r="A90" s="411"/>
      <c r="B90" s="161" t="s">
        <v>1270</v>
      </c>
      <c r="C90" s="162" t="s">
        <v>1931</v>
      </c>
      <c r="D90" s="100">
        <v>500</v>
      </c>
      <c r="E90" s="151" t="s">
        <v>1932</v>
      </c>
      <c r="F90" s="100" t="s">
        <v>1834</v>
      </c>
      <c r="G90" t="s">
        <v>494</v>
      </c>
    </row>
    <row r="91" spans="1:8" ht="390">
      <c r="A91" s="411"/>
      <c r="B91" s="161" t="s">
        <v>1285</v>
      </c>
      <c r="C91" s="162" t="s">
        <v>1933</v>
      </c>
      <c r="D91" s="100">
        <v>200</v>
      </c>
      <c r="E91" s="151" t="s">
        <v>1934</v>
      </c>
      <c r="F91" s="100" t="s">
        <v>1834</v>
      </c>
      <c r="G91" t="s">
        <v>494</v>
      </c>
      <c r="H91" t="s">
        <v>494</v>
      </c>
    </row>
    <row r="92" spans="1:8" ht="210">
      <c r="A92" s="411"/>
      <c r="B92" s="161" t="s">
        <v>1296</v>
      </c>
      <c r="C92" s="162" t="s">
        <v>1935</v>
      </c>
      <c r="D92" s="100">
        <v>201</v>
      </c>
      <c r="E92" s="151" t="s">
        <v>1936</v>
      </c>
      <c r="F92" s="100"/>
      <c r="G92" t="s">
        <v>494</v>
      </c>
    </row>
    <row r="93" spans="1:8" ht="45">
      <c r="A93" s="411"/>
      <c r="B93" s="161" t="s">
        <v>1257</v>
      </c>
      <c r="C93" s="162" t="s">
        <v>1937</v>
      </c>
      <c r="D93" s="100">
        <v>200</v>
      </c>
      <c r="E93" s="151"/>
      <c r="F93" s="100"/>
    </row>
    <row r="94" spans="1:8" ht="375">
      <c r="A94" s="411"/>
      <c r="B94" s="161" t="s">
        <v>1254</v>
      </c>
      <c r="C94" s="162" t="s">
        <v>1907</v>
      </c>
      <c r="D94" s="100">
        <v>500</v>
      </c>
      <c r="E94" s="151" t="s">
        <v>1938</v>
      </c>
      <c r="F94" s="100" t="s">
        <v>1834</v>
      </c>
      <c r="G94" t="s">
        <v>494</v>
      </c>
    </row>
    <row r="95" spans="1:8" ht="360">
      <c r="A95" s="411"/>
      <c r="B95" s="161" t="s">
        <v>1374</v>
      </c>
      <c r="C95" s="162" t="s">
        <v>1939</v>
      </c>
      <c r="D95" s="100">
        <v>500</v>
      </c>
      <c r="E95" s="151" t="s">
        <v>1915</v>
      </c>
      <c r="F95" s="100" t="s">
        <v>1940</v>
      </c>
      <c r="G95" t="s">
        <v>494</v>
      </c>
    </row>
    <row r="96" spans="1:8" ht="409.5">
      <c r="A96" s="411"/>
      <c r="B96" s="161" t="s">
        <v>1240</v>
      </c>
      <c r="C96" s="162" t="s">
        <v>1941</v>
      </c>
      <c r="D96" s="100">
        <v>500</v>
      </c>
      <c r="E96" s="151" t="s">
        <v>1942</v>
      </c>
      <c r="F96" s="100"/>
      <c r="G96" t="s">
        <v>494</v>
      </c>
    </row>
    <row r="97" spans="1:7" ht="30">
      <c r="A97" s="411"/>
      <c r="B97" s="161" t="s">
        <v>1261</v>
      </c>
      <c r="C97" s="162" t="s">
        <v>1943</v>
      </c>
      <c r="D97" s="100">
        <v>200</v>
      </c>
      <c r="E97" s="151"/>
      <c r="F97" s="100"/>
    </row>
    <row r="98" spans="1:7">
      <c r="A98" s="157" t="s">
        <v>973</v>
      </c>
      <c r="B98" s="161" t="s">
        <v>975</v>
      </c>
      <c r="C98" s="162" t="s">
        <v>1944</v>
      </c>
      <c r="D98" s="100">
        <v>200</v>
      </c>
      <c r="E98" s="151"/>
      <c r="F98" s="100"/>
    </row>
    <row r="99" spans="1:7">
      <c r="A99" s="157" t="s">
        <v>976</v>
      </c>
      <c r="B99" s="161" t="s">
        <v>978</v>
      </c>
      <c r="C99" s="162" t="s">
        <v>1945</v>
      </c>
      <c r="D99" s="100">
        <v>200</v>
      </c>
      <c r="E99" s="151"/>
      <c r="F99" s="100"/>
    </row>
    <row r="100" spans="1:7">
      <c r="A100" s="410" t="s">
        <v>980</v>
      </c>
      <c r="B100" s="161" t="s">
        <v>1302</v>
      </c>
      <c r="C100" s="162" t="s">
        <v>1946</v>
      </c>
      <c r="D100" s="100">
        <v>200</v>
      </c>
      <c r="E100" s="151"/>
      <c r="F100" s="100"/>
    </row>
    <row r="101" spans="1:7">
      <c r="A101" s="411"/>
      <c r="B101" s="161" t="s">
        <v>1309</v>
      </c>
      <c r="C101" s="162" t="s">
        <v>1947</v>
      </c>
      <c r="D101" s="100">
        <v>200</v>
      </c>
      <c r="E101" s="151"/>
      <c r="F101" s="100"/>
    </row>
    <row r="102" spans="1:7">
      <c r="A102" s="411"/>
      <c r="B102" s="161" t="s">
        <v>1311</v>
      </c>
      <c r="C102" s="162" t="s">
        <v>1948</v>
      </c>
      <c r="D102" s="100">
        <v>200</v>
      </c>
      <c r="E102" s="151"/>
      <c r="F102" s="100"/>
    </row>
    <row r="103" spans="1:7">
      <c r="A103" s="411"/>
      <c r="B103" s="161" t="s">
        <v>1313</v>
      </c>
      <c r="C103" s="162" t="s">
        <v>1949</v>
      </c>
      <c r="D103" s="100">
        <v>200</v>
      </c>
      <c r="E103" s="151"/>
      <c r="F103" s="100"/>
    </row>
    <row r="104" spans="1:7">
      <c r="A104" s="411"/>
      <c r="B104" s="161" t="s">
        <v>1315</v>
      </c>
      <c r="C104" s="162" t="s">
        <v>1950</v>
      </c>
      <c r="D104" s="100">
        <v>200</v>
      </c>
      <c r="E104" s="151"/>
      <c r="F104" s="100"/>
    </row>
    <row r="105" spans="1:7">
      <c r="A105" s="411"/>
      <c r="B105" s="161" t="s">
        <v>1317</v>
      </c>
      <c r="C105" s="162" t="s">
        <v>1951</v>
      </c>
      <c r="D105" s="100">
        <v>200</v>
      </c>
      <c r="E105" s="151"/>
      <c r="F105" s="100"/>
    </row>
    <row r="106" spans="1:7" ht="30">
      <c r="A106" s="410" t="s">
        <v>983</v>
      </c>
      <c r="B106" s="161" t="s">
        <v>1225</v>
      </c>
      <c r="C106" s="162" t="s">
        <v>1952</v>
      </c>
      <c r="D106" s="100">
        <v>200</v>
      </c>
      <c r="E106" s="151"/>
      <c r="F106" s="100"/>
    </row>
    <row r="107" spans="1:7" ht="360">
      <c r="A107" s="411"/>
      <c r="B107" s="161" t="s">
        <v>1953</v>
      </c>
      <c r="C107" s="162" t="s">
        <v>1954</v>
      </c>
      <c r="D107" s="100">
        <v>200</v>
      </c>
      <c r="E107" s="151" t="s">
        <v>1955</v>
      </c>
      <c r="F107" s="100"/>
    </row>
    <row r="108" spans="1:7" ht="30">
      <c r="A108" s="411"/>
      <c r="B108" s="161" t="s">
        <v>1956</v>
      </c>
      <c r="C108" s="162" t="s">
        <v>1957</v>
      </c>
      <c r="D108" s="100" t="s">
        <v>1958</v>
      </c>
      <c r="E108" s="151" t="s">
        <v>1959</v>
      </c>
      <c r="F108" s="100"/>
      <c r="G108" t="s">
        <v>494</v>
      </c>
    </row>
    <row r="109" spans="1:7" ht="30">
      <c r="A109" s="411"/>
      <c r="B109" s="161" t="s">
        <v>1960</v>
      </c>
      <c r="C109" s="162" t="s">
        <v>1961</v>
      </c>
      <c r="D109" s="100" t="s">
        <v>1958</v>
      </c>
      <c r="E109" s="151" t="s">
        <v>1959</v>
      </c>
      <c r="F109" s="100"/>
      <c r="G109" t="s">
        <v>494</v>
      </c>
    </row>
    <row r="110" spans="1:7" ht="30">
      <c r="A110" s="411"/>
      <c r="B110" s="161" t="s">
        <v>1962</v>
      </c>
      <c r="C110" s="162" t="s">
        <v>1963</v>
      </c>
      <c r="D110" s="100" t="s">
        <v>1958</v>
      </c>
      <c r="E110" s="151" t="s">
        <v>1959</v>
      </c>
      <c r="F110" s="100"/>
      <c r="G110" t="s">
        <v>494</v>
      </c>
    </row>
    <row r="111" spans="1:7" ht="30">
      <c r="A111" s="411"/>
      <c r="B111" s="161" t="s">
        <v>1964</v>
      </c>
      <c r="C111" s="162" t="s">
        <v>1965</v>
      </c>
      <c r="D111" s="100" t="s">
        <v>1958</v>
      </c>
      <c r="E111" s="151" t="s">
        <v>1959</v>
      </c>
      <c r="F111" s="100"/>
      <c r="G111" t="s">
        <v>494</v>
      </c>
    </row>
    <row r="112" spans="1:7" ht="30">
      <c r="A112" s="411"/>
      <c r="B112" s="161" t="s">
        <v>1306</v>
      </c>
      <c r="C112" s="162" t="s">
        <v>1966</v>
      </c>
      <c r="D112" s="100">
        <v>200</v>
      </c>
      <c r="E112" s="151"/>
      <c r="F112" s="100"/>
    </row>
    <row r="113" spans="1:7" ht="30">
      <c r="A113" s="410" t="s">
        <v>986</v>
      </c>
      <c r="B113" s="161" t="s">
        <v>1224</v>
      </c>
      <c r="C113" s="162" t="s">
        <v>1967</v>
      </c>
      <c r="D113" s="100">
        <v>200</v>
      </c>
      <c r="E113" s="151" t="s">
        <v>1968</v>
      </c>
      <c r="F113" s="100"/>
    </row>
    <row r="114" spans="1:7" ht="30">
      <c r="A114" s="411"/>
      <c r="B114" s="161" t="s">
        <v>1283</v>
      </c>
      <c r="C114" s="162" t="s">
        <v>1969</v>
      </c>
      <c r="D114" s="100">
        <v>200</v>
      </c>
      <c r="E114" s="151"/>
      <c r="F114" s="100"/>
    </row>
    <row r="115" spans="1:7">
      <c r="A115" s="410" t="s">
        <v>990</v>
      </c>
      <c r="B115" s="161" t="s">
        <v>1353</v>
      </c>
      <c r="C115" s="162" t="s">
        <v>1970</v>
      </c>
      <c r="D115" s="100">
        <v>200</v>
      </c>
      <c r="E115" s="151"/>
      <c r="F115" s="100"/>
    </row>
    <row r="116" spans="1:7">
      <c r="A116" s="411"/>
      <c r="B116" s="161" t="s">
        <v>1355</v>
      </c>
      <c r="C116" s="162" t="s">
        <v>1971</v>
      </c>
      <c r="D116" s="100">
        <v>200</v>
      </c>
      <c r="E116" s="151"/>
      <c r="F116" s="100"/>
    </row>
    <row r="117" spans="1:7">
      <c r="A117" s="410" t="s">
        <v>993</v>
      </c>
      <c r="B117" s="161" t="s">
        <v>1319</v>
      </c>
      <c r="C117" s="162" t="s">
        <v>1972</v>
      </c>
      <c r="D117" s="100">
        <v>200</v>
      </c>
      <c r="E117" s="151"/>
      <c r="F117" s="100"/>
    </row>
    <row r="118" spans="1:7">
      <c r="A118" s="411"/>
      <c r="B118" s="161" t="s">
        <v>1321</v>
      </c>
      <c r="C118" s="162" t="s">
        <v>1973</v>
      </c>
      <c r="D118" s="100">
        <v>200</v>
      </c>
      <c r="E118" s="151"/>
      <c r="F118" s="100"/>
    </row>
    <row r="119" spans="1:7">
      <c r="A119" s="411"/>
      <c r="B119" s="161" t="s">
        <v>1323</v>
      </c>
      <c r="C119" s="162" t="s">
        <v>1974</v>
      </c>
      <c r="D119" s="100">
        <v>200</v>
      </c>
      <c r="E119" s="151"/>
      <c r="F119" s="100"/>
    </row>
    <row r="120" spans="1:7">
      <c r="A120" s="157" t="s">
        <v>996</v>
      </c>
      <c r="B120" s="161" t="s">
        <v>998</v>
      </c>
      <c r="C120" s="162" t="s">
        <v>1975</v>
      </c>
      <c r="D120" s="100">
        <v>200</v>
      </c>
      <c r="E120" s="151"/>
      <c r="F120" s="100"/>
    </row>
    <row r="121" spans="1:7">
      <c r="A121" s="410" t="s">
        <v>999</v>
      </c>
      <c r="B121" s="161" t="s">
        <v>1364</v>
      </c>
      <c r="C121" s="162" t="s">
        <v>1976</v>
      </c>
      <c r="D121" s="100">
        <v>200</v>
      </c>
      <c r="E121" s="151"/>
      <c r="F121" s="100"/>
    </row>
    <row r="122" spans="1:7">
      <c r="A122" s="411"/>
      <c r="B122" s="161" t="s">
        <v>1977</v>
      </c>
      <c r="C122" s="162" t="s">
        <v>1978</v>
      </c>
      <c r="D122" s="100">
        <v>200</v>
      </c>
      <c r="E122" s="151"/>
      <c r="F122" s="100"/>
    </row>
    <row r="123" spans="1:7">
      <c r="A123" s="411"/>
      <c r="B123" s="161" t="s">
        <v>1224</v>
      </c>
      <c r="C123" s="162" t="s">
        <v>1979</v>
      </c>
      <c r="D123" s="100">
        <v>200</v>
      </c>
      <c r="E123" s="151"/>
      <c r="F123" s="100"/>
    </row>
    <row r="124" spans="1:7">
      <c r="A124" s="411"/>
      <c r="B124" s="161" t="s">
        <v>1265</v>
      </c>
      <c r="C124" s="162" t="s">
        <v>1980</v>
      </c>
      <c r="D124" s="100">
        <v>200</v>
      </c>
      <c r="E124" s="151"/>
      <c r="F124" s="100"/>
    </row>
    <row r="125" spans="1:7">
      <c r="A125" s="411"/>
      <c r="B125" s="161" t="s">
        <v>1327</v>
      </c>
      <c r="C125" s="162" t="s">
        <v>1981</v>
      </c>
      <c r="D125" s="100">
        <v>200</v>
      </c>
      <c r="E125" s="151"/>
      <c r="F125" s="100"/>
    </row>
    <row r="126" spans="1:7" ht="45">
      <c r="A126" s="411"/>
      <c r="B126" s="161" t="s">
        <v>1982</v>
      </c>
      <c r="C126" s="162" t="s">
        <v>1978</v>
      </c>
      <c r="D126" s="100" t="s">
        <v>1958</v>
      </c>
      <c r="E126" s="151" t="s">
        <v>1983</v>
      </c>
      <c r="F126" s="100"/>
      <c r="G126" t="s">
        <v>1984</v>
      </c>
    </row>
    <row r="127" spans="1:7">
      <c r="A127" s="157" t="s">
        <v>1003</v>
      </c>
      <c r="B127" s="161" t="s">
        <v>1005</v>
      </c>
      <c r="C127" s="162" t="s">
        <v>1985</v>
      </c>
      <c r="D127" s="100">
        <v>200</v>
      </c>
      <c r="E127" s="151"/>
      <c r="F127" s="100"/>
    </row>
    <row r="128" spans="1:7" ht="45">
      <c r="A128" s="410" t="s">
        <v>1006</v>
      </c>
      <c r="B128" s="161" t="s">
        <v>1343</v>
      </c>
      <c r="C128" s="162" t="s">
        <v>1986</v>
      </c>
      <c r="D128" s="100">
        <v>200</v>
      </c>
      <c r="E128" s="151"/>
      <c r="F128" s="100"/>
    </row>
    <row r="129" spans="1:7" ht="45">
      <c r="A129" s="411"/>
      <c r="B129" s="161" t="s">
        <v>1380</v>
      </c>
      <c r="C129" s="162" t="s">
        <v>1987</v>
      </c>
      <c r="D129" s="100">
        <v>200</v>
      </c>
      <c r="E129" s="151"/>
      <c r="F129" s="100"/>
    </row>
    <row r="130" spans="1:7" ht="45">
      <c r="A130" s="411"/>
      <c r="B130" s="161" t="s">
        <v>1382</v>
      </c>
      <c r="C130" s="162" t="s">
        <v>1988</v>
      </c>
      <c r="D130" s="100">
        <v>200</v>
      </c>
      <c r="E130" s="151"/>
      <c r="F130" s="100"/>
    </row>
    <row r="131" spans="1:7" ht="30">
      <c r="A131" s="411"/>
      <c r="B131" s="161" t="s">
        <v>1223</v>
      </c>
      <c r="C131" s="162" t="s">
        <v>1989</v>
      </c>
      <c r="D131" s="100">
        <v>200</v>
      </c>
      <c r="E131" s="151"/>
      <c r="F131" s="100"/>
    </row>
    <row r="132" spans="1:7" ht="45">
      <c r="A132" s="411"/>
      <c r="B132" s="161" t="s">
        <v>1288</v>
      </c>
      <c r="C132" s="162" t="s">
        <v>1990</v>
      </c>
      <c r="D132" s="100">
        <v>200</v>
      </c>
      <c r="E132" s="151"/>
      <c r="F132" s="100"/>
    </row>
    <row r="133" spans="1:7" ht="45">
      <c r="A133" s="411"/>
      <c r="B133" s="161" t="s">
        <v>1290</v>
      </c>
      <c r="C133" s="162" t="s">
        <v>1991</v>
      </c>
      <c r="D133" s="100">
        <v>200</v>
      </c>
      <c r="E133" s="151"/>
      <c r="F133" s="100"/>
    </row>
    <row r="134" spans="1:7" ht="30">
      <c r="A134" s="411"/>
      <c r="B134" s="161" t="s">
        <v>1292</v>
      </c>
      <c r="C134" s="162" t="s">
        <v>1992</v>
      </c>
      <c r="D134" s="100">
        <v>200</v>
      </c>
      <c r="E134" s="151"/>
      <c r="F134" s="100"/>
    </row>
    <row r="135" spans="1:7" ht="45">
      <c r="A135" s="411"/>
      <c r="B135" s="161" t="s">
        <v>1294</v>
      </c>
      <c r="C135" s="162" t="s">
        <v>1993</v>
      </c>
      <c r="D135" s="100">
        <v>200</v>
      </c>
      <c r="E135" s="151"/>
      <c r="F135" s="100"/>
    </row>
    <row r="136" spans="1:7" ht="45">
      <c r="A136" s="411"/>
      <c r="B136" s="161" t="s">
        <v>1368</v>
      </c>
      <c r="C136" s="162" t="s">
        <v>1994</v>
      </c>
      <c r="D136" s="100">
        <v>200</v>
      </c>
      <c r="E136" s="151"/>
      <c r="F136" s="100"/>
    </row>
    <row r="137" spans="1:7" ht="45">
      <c r="A137" s="411"/>
      <c r="B137" s="161" t="s">
        <v>1325</v>
      </c>
      <c r="C137" s="162" t="s">
        <v>1995</v>
      </c>
      <c r="D137" s="100">
        <v>200</v>
      </c>
      <c r="E137" s="151"/>
      <c r="F137" s="100"/>
    </row>
    <row r="138" spans="1:7">
      <c r="A138" s="157" t="s">
        <v>1009</v>
      </c>
      <c r="B138" s="161" t="s">
        <v>1011</v>
      </c>
      <c r="C138" s="162" t="s">
        <v>1996</v>
      </c>
      <c r="D138" s="100">
        <v>200</v>
      </c>
      <c r="E138" s="151"/>
      <c r="F138" s="100"/>
    </row>
    <row r="139" spans="1:7" ht="409.5">
      <c r="A139" s="410" t="s">
        <v>1013</v>
      </c>
      <c r="B139" s="161" t="s">
        <v>1211</v>
      </c>
      <c r="C139" s="162" t="s">
        <v>1997</v>
      </c>
      <c r="D139" s="100">
        <v>504</v>
      </c>
      <c r="E139" s="151" t="s">
        <v>1998</v>
      </c>
      <c r="F139" s="100">
        <v>504</v>
      </c>
      <c r="G139" t="s">
        <v>1999</v>
      </c>
    </row>
    <row r="140" spans="1:7" ht="30">
      <c r="A140" s="411"/>
      <c r="B140" s="161" t="s">
        <v>1228</v>
      </c>
      <c r="C140" s="162" t="s">
        <v>2000</v>
      </c>
      <c r="D140" s="100">
        <v>200</v>
      </c>
      <c r="E140" s="151"/>
      <c r="F140" s="100"/>
    </row>
    <row r="141" spans="1:7">
      <c r="A141" s="157" t="s">
        <v>1016</v>
      </c>
      <c r="B141" s="161" t="s">
        <v>1018</v>
      </c>
      <c r="C141" s="162" t="s">
        <v>2001</v>
      </c>
      <c r="D141" s="100">
        <v>200</v>
      </c>
      <c r="E141" s="151"/>
      <c r="F141" s="100"/>
    </row>
    <row r="142" spans="1:7">
      <c r="A142" s="157" t="s">
        <v>1019</v>
      </c>
      <c r="B142" s="161" t="s">
        <v>1018</v>
      </c>
      <c r="C142" s="162" t="s">
        <v>2002</v>
      </c>
      <c r="D142" s="100">
        <v>200</v>
      </c>
      <c r="E142" s="151"/>
      <c r="F142" s="100"/>
    </row>
    <row r="143" spans="1:7">
      <c r="A143" s="157" t="s">
        <v>1021</v>
      </c>
      <c r="B143" s="161" t="s">
        <v>1023</v>
      </c>
      <c r="C143" s="162" t="s">
        <v>2003</v>
      </c>
      <c r="D143" s="100">
        <v>200</v>
      </c>
      <c r="E143" s="151"/>
      <c r="F143" s="100"/>
    </row>
    <row r="144" spans="1:7">
      <c r="A144" s="410" t="s">
        <v>1024</v>
      </c>
      <c r="B144" s="161" t="s">
        <v>1232</v>
      </c>
      <c r="C144" s="162" t="s">
        <v>2004</v>
      </c>
      <c r="D144" s="100">
        <v>200</v>
      </c>
      <c r="E144" s="151"/>
      <c r="F144" s="100"/>
    </row>
    <row r="145" spans="1:7">
      <c r="A145" s="411"/>
      <c r="B145" s="161" t="s">
        <v>1234</v>
      </c>
      <c r="C145" s="162" t="s">
        <v>2005</v>
      </c>
      <c r="D145" s="100">
        <v>200</v>
      </c>
      <c r="E145" s="151"/>
      <c r="F145" s="100"/>
    </row>
    <row r="146" spans="1:7">
      <c r="A146" s="411"/>
      <c r="B146" s="161" t="s">
        <v>1238</v>
      </c>
      <c r="C146" s="162" t="s">
        <v>2006</v>
      </c>
      <c r="D146" s="100">
        <v>200</v>
      </c>
      <c r="E146" s="151"/>
      <c r="F146" s="100"/>
    </row>
    <row r="147" spans="1:7" ht="409.5">
      <c r="A147" s="411"/>
      <c r="B147" s="161" t="s">
        <v>1240</v>
      </c>
      <c r="C147" s="162" t="s">
        <v>2007</v>
      </c>
      <c r="D147" s="100">
        <v>500</v>
      </c>
      <c r="E147" s="151" t="s">
        <v>2008</v>
      </c>
      <c r="F147" s="100"/>
      <c r="G147" t="s">
        <v>494</v>
      </c>
    </row>
    <row r="148" spans="1:7">
      <c r="A148" s="411"/>
      <c r="B148" s="161" t="s">
        <v>1250</v>
      </c>
      <c r="C148" s="162" t="s">
        <v>2009</v>
      </c>
      <c r="D148" s="100">
        <v>200</v>
      </c>
      <c r="E148" s="151"/>
      <c r="F148" s="100"/>
    </row>
    <row r="149" spans="1:7" ht="45">
      <c r="A149" s="411"/>
      <c r="B149" s="161" t="s">
        <v>1257</v>
      </c>
      <c r="C149" s="162" t="s">
        <v>2010</v>
      </c>
      <c r="D149" s="100">
        <v>200</v>
      </c>
      <c r="E149" s="151"/>
      <c r="F149" s="100"/>
    </row>
    <row r="150" spans="1:7" ht="285">
      <c r="A150" s="411"/>
      <c r="B150" s="161" t="s">
        <v>1259</v>
      </c>
      <c r="C150" s="162" t="s">
        <v>2011</v>
      </c>
      <c r="D150" s="100">
        <v>400</v>
      </c>
      <c r="E150" s="151" t="s">
        <v>2012</v>
      </c>
      <c r="F150" s="100"/>
      <c r="G150" t="s">
        <v>494</v>
      </c>
    </row>
    <row r="151" spans="1:7">
      <c r="A151" s="411"/>
      <c r="B151" s="161" t="s">
        <v>1263</v>
      </c>
      <c r="C151" s="162" t="s">
        <v>2013</v>
      </c>
      <c r="D151" s="100">
        <v>200</v>
      </c>
      <c r="E151" s="151"/>
      <c r="F151" s="100"/>
    </row>
    <row r="152" spans="1:7">
      <c r="A152" s="411"/>
      <c r="B152" s="161" t="s">
        <v>1272</v>
      </c>
      <c r="C152" s="162" t="s">
        <v>2014</v>
      </c>
      <c r="D152" s="100">
        <v>200</v>
      </c>
      <c r="E152" s="151"/>
      <c r="F152" s="100"/>
    </row>
    <row r="153" spans="1:7">
      <c r="A153" s="411"/>
      <c r="B153" s="161" t="s">
        <v>1276</v>
      </c>
      <c r="C153" s="162" t="s">
        <v>2015</v>
      </c>
      <c r="D153" s="100">
        <v>200</v>
      </c>
      <c r="E153" s="151"/>
      <c r="F153" s="100"/>
    </row>
    <row r="154" spans="1:7">
      <c r="A154" s="411"/>
      <c r="B154" s="161" t="s">
        <v>1278</v>
      </c>
      <c r="C154" s="162" t="s">
        <v>2016</v>
      </c>
      <c r="D154" s="100">
        <v>200</v>
      </c>
      <c r="E154" s="151"/>
      <c r="F154" s="100"/>
    </row>
    <row r="155" spans="1:7">
      <c r="A155" s="411"/>
      <c r="B155" s="161" t="s">
        <v>1280</v>
      </c>
      <c r="C155" s="162" t="s">
        <v>2017</v>
      </c>
      <c r="D155" s="100">
        <v>200</v>
      </c>
      <c r="E155" s="151"/>
      <c r="F155" s="100"/>
    </row>
    <row r="156" spans="1:7">
      <c r="A156" s="411"/>
      <c r="B156" s="161" t="s">
        <v>1329</v>
      </c>
      <c r="C156" s="162" t="s">
        <v>2018</v>
      </c>
      <c r="D156" s="100">
        <v>200</v>
      </c>
      <c r="E156" s="151"/>
      <c r="F156" s="100"/>
    </row>
    <row r="157" spans="1:7">
      <c r="A157" s="411"/>
      <c r="B157" s="161" t="s">
        <v>1361</v>
      </c>
      <c r="C157" s="162" t="s">
        <v>2019</v>
      </c>
      <c r="D157" s="100">
        <v>200</v>
      </c>
      <c r="E157" s="151"/>
      <c r="F157" s="100"/>
    </row>
    <row r="158" spans="1:7">
      <c r="C158" s="38"/>
      <c r="E158" s="38"/>
    </row>
  </sheetData>
  <mergeCells count="18">
    <mergeCell ref="A35:A50"/>
    <mergeCell ref="A3:A4"/>
    <mergeCell ref="A5:A6"/>
    <mergeCell ref="A7:A8"/>
    <mergeCell ref="A9:A13"/>
    <mergeCell ref="A14:A34"/>
    <mergeCell ref="A144:A157"/>
    <mergeCell ref="A51:A68"/>
    <mergeCell ref="A69:A79"/>
    <mergeCell ref="A80:A97"/>
    <mergeCell ref="A100:A105"/>
    <mergeCell ref="A106:A112"/>
    <mergeCell ref="A113:A114"/>
    <mergeCell ref="A115:A116"/>
    <mergeCell ref="A117:A119"/>
    <mergeCell ref="A121:A126"/>
    <mergeCell ref="A128:A137"/>
    <mergeCell ref="A139:A140"/>
  </mergeCells>
  <hyperlinks>
    <hyperlink ref="C5" r:id="rId1" xr:uid="{EDDE9AFD-EDB5-4643-9ACD-CAA686BFDD1E}"/>
    <hyperlink ref="C6" r:id="rId2" xr:uid="{D1DC7B47-CFCD-4D1D-9080-09B90135BAA1}"/>
    <hyperlink ref="C7" r:id="rId3" xr:uid="{218F84D6-0A6D-4D73-8621-5A53499BAF69}"/>
    <hyperlink ref="C8" r:id="rId4" xr:uid="{5F81F2C3-9794-43F7-AC1A-3CF9B450747D}"/>
    <hyperlink ref="C73" r:id="rId5" xr:uid="{5165342C-BD77-4B87-9DAA-96EC84B1BEB2}"/>
    <hyperlink ref="C76" r:id="rId6" xr:uid="{20F43F0A-AF08-4920-8799-BB1990C203E7}"/>
    <hyperlink ref="C94" r:id="rId7" xr:uid="{A492AFDE-DEA9-423B-8C7F-B259D0475A85}"/>
    <hyperlink ref="C113" r:id="rId8" xr:uid="{FF3C807F-E4B4-4C66-A04B-B296ABF98939}"/>
    <hyperlink ref="C114" r:id="rId9" xr:uid="{5D4D6E3A-0279-498B-A53B-C166961D480B}"/>
    <hyperlink ref="C38" r:id="rId10" xr:uid="{E391EA86-73CE-46B0-9471-6D9347E225D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110B8E3B7B8948A8EE7326B63AB5A0" ma:contentTypeVersion="14" ma:contentTypeDescription="Create a new document." ma:contentTypeScope="" ma:versionID="6408b787f9d11ec8e882886f7213e128">
  <xsd:schema xmlns:xsd="http://www.w3.org/2001/XMLSchema" xmlns:xs="http://www.w3.org/2001/XMLSchema" xmlns:p="http://schemas.microsoft.com/office/2006/metadata/properties" xmlns:ns2="4a9267dc-f95c-41ab-b265-6b4b131bfbc3" xmlns:ns3="eda446e0-7df1-4255-997d-851c77c03390" targetNamespace="http://schemas.microsoft.com/office/2006/metadata/properties" ma:root="true" ma:fieldsID="abeab3060d26bd2a7706f9800637a7f5" ns2:_="" ns3:_="">
    <xsd:import namespace="4a9267dc-f95c-41ab-b265-6b4b131bfbc3"/>
    <xsd:import namespace="eda446e0-7df1-4255-997d-851c77c0339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267dc-f95c-41ab-b265-6b4b131bf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da4855-4edc-4d1c-82df-1c029e91f91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a446e0-7df1-4255-997d-851c77c0339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8387690-7d50-4ed7-9f9c-1d08702b13b4}" ma:internalName="TaxCatchAll" ma:showField="CatchAllData" ma:web="eda446e0-7df1-4255-997d-851c77c0339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a446e0-7df1-4255-997d-851c77c03390" xsi:nil="true"/>
    <lcf76f155ced4ddcb4097134ff3c332f xmlns="4a9267dc-f95c-41ab-b265-6b4b131bfbc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05E17E-2847-438E-8717-5FCF8884005B}"/>
</file>

<file path=customXml/itemProps2.xml><?xml version="1.0" encoding="utf-8"?>
<ds:datastoreItem xmlns:ds="http://schemas.openxmlformats.org/officeDocument/2006/customXml" ds:itemID="{6A46F5DB-B4DF-4BC0-8431-E34AAF28D07C}"/>
</file>

<file path=customXml/itemProps3.xml><?xml version="1.0" encoding="utf-8"?>
<ds:datastoreItem xmlns:ds="http://schemas.openxmlformats.org/officeDocument/2006/customXml" ds:itemID="{8D7D9EF2-84CD-4B26-9857-84F21FAE4618}"/>
</file>

<file path=docProps/app.xml><?xml version="1.0" encoding="utf-8"?>
<Properties xmlns="http://schemas.openxmlformats.org/officeDocument/2006/extended-properties" xmlns:vt="http://schemas.openxmlformats.org/officeDocument/2006/docPropsVTypes">
  <Application>Microsoft Excel Online</Application>
  <Manager/>
  <Company>Ameren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Grady, John R</dc:creator>
  <cp:keywords/>
  <dc:description/>
  <cp:lastModifiedBy/>
  <cp:revision/>
  <dcterms:created xsi:type="dcterms:W3CDTF">2021-05-28T20:20:34Z</dcterms:created>
  <dcterms:modified xsi:type="dcterms:W3CDTF">2026-05-29T17:18:26Z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0x010100C8110B8E3B7B8948A8EE7326B63AB5A0</vt:lpwstr>
  </property>
  <property fmtid="{D5CDD505-2E9C-101B-9397-08002B2CF9AE}" pid="3" name="Ameren Company">
    <vt:lpwstr>1;#Ameren Services|8cb32a4a-d0e0-4400-8f68-95867469eca3</vt:lpwstr>
  </property>
  <property fmtid="{D5CDD505-2E9C-101B-9397-08002B2CF9AE}" pid="4" name="Security Classification">
    <vt:lpwstr>2;#Proprietary|9afad536-47af-421f-a73a-9b30b8302788</vt:lpwstr>
  </property>
  <property fmtid="{D5CDD505-2E9C-101B-9397-08002B2CF9AE}" pid="5" name="Document Type">
    <vt:lpwstr/>
  </property>
  <property fmtid="{D5CDD505-2E9C-101B-9397-08002B2CF9AE}" pid="6" name="MediaServiceImageTags">
    <vt:lpwstr/>
  </property>
</Properties>
</file>